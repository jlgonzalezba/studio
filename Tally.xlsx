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1. Pozos\11. Noviembre\4. DT-96\"/>
    </mc:Choice>
  </mc:AlternateContent>
  <xr:revisionPtr revIDLastSave="0" documentId="13_ncr:1_{00721107-9806-4BB4-9E6E-9D1DAAE7E81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abla" sheetId="1" r:id="rId1"/>
    <sheet name="Reporte" sheetId="2" r:id="rId2"/>
    <sheet name="Ovalidad" sheetId="3" r:id="rId3"/>
    <sheet name="Excentricidad" sheetId="4" r:id="rId4"/>
  </sheets>
  <definedNames>
    <definedName name="campo">Reporte!$C$3</definedName>
    <definedName name="company">Reporte!$C$4</definedName>
    <definedName name="Departamento">Reporte!$C$6</definedName>
    <definedName name="Logdate">Reporte!$C$12</definedName>
    <definedName name="NomId">Reporte!$C$11</definedName>
    <definedName name="NomOd">Reporte!$C$10</definedName>
    <definedName name="Pais">Reporte!$C$7</definedName>
    <definedName name="Path">Reporte!$C$28</definedName>
    <definedName name="Pozo">Reporte!$C$2</definedName>
    <definedName name="Top">OFFSET(Tabla!#REF!,0,0,countara(Tabla!$L:$L),1)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1" l="1"/>
  <c r="AM2" i="1" s="1"/>
  <c r="AH3" i="1"/>
  <c r="AM3" i="1" s="1"/>
  <c r="AH4" i="1"/>
  <c r="AM4" i="1" s="1"/>
  <c r="AH5" i="1"/>
  <c r="AM5" i="1" s="1"/>
  <c r="AH6" i="1"/>
  <c r="AM6" i="1" s="1"/>
  <c r="AH7" i="1"/>
  <c r="AM7" i="1" s="1"/>
  <c r="AH8" i="1"/>
  <c r="AM8" i="1" s="1"/>
  <c r="AH9" i="1"/>
  <c r="AM9" i="1" s="1"/>
  <c r="AH10" i="1"/>
  <c r="AM10" i="1" s="1"/>
  <c r="AH11" i="1"/>
  <c r="AM11" i="1" s="1"/>
  <c r="AH12" i="1"/>
  <c r="AM12" i="1" s="1"/>
  <c r="AH13" i="1"/>
  <c r="AM13" i="1" s="1"/>
  <c r="AH14" i="1"/>
  <c r="AM14" i="1" s="1"/>
  <c r="AH15" i="1"/>
  <c r="AM15" i="1" s="1"/>
  <c r="AH16" i="1"/>
  <c r="AM16" i="1" s="1"/>
  <c r="AH17" i="1"/>
  <c r="AM17" i="1" s="1"/>
  <c r="AH18" i="1"/>
  <c r="AH19" i="1"/>
  <c r="AM19" i="1" s="1"/>
  <c r="AH20" i="1"/>
  <c r="AM20" i="1" s="1"/>
  <c r="AH21" i="1"/>
  <c r="AH22" i="1"/>
  <c r="AM22" i="1" s="1"/>
  <c r="AH23" i="1"/>
  <c r="AM23" i="1" s="1"/>
  <c r="AH24" i="1"/>
  <c r="AM24" i="1" s="1"/>
  <c r="AH25" i="1"/>
  <c r="AM25" i="1" s="1"/>
  <c r="AH26" i="1"/>
  <c r="AM26" i="1" s="1"/>
  <c r="AH27" i="1"/>
  <c r="AM27" i="1" s="1"/>
  <c r="AH28" i="1"/>
  <c r="AM28" i="1" s="1"/>
  <c r="AH29" i="1"/>
  <c r="AM29" i="1" s="1"/>
  <c r="AH30" i="1"/>
  <c r="AM30" i="1" s="1"/>
  <c r="AH31" i="1"/>
  <c r="AM31" i="1" s="1"/>
  <c r="AH32" i="1"/>
  <c r="AM32" i="1" s="1"/>
  <c r="AH33" i="1"/>
  <c r="AM33" i="1" s="1"/>
  <c r="AH34" i="1"/>
  <c r="AM34" i="1" s="1"/>
  <c r="AH35" i="1"/>
  <c r="AM35" i="1" s="1"/>
  <c r="AH36" i="1"/>
  <c r="AM36" i="1" s="1"/>
  <c r="AH37" i="1"/>
  <c r="AM37" i="1" s="1"/>
  <c r="AH38" i="1"/>
  <c r="AH39" i="1"/>
  <c r="AM39" i="1" s="1"/>
  <c r="AH40" i="1"/>
  <c r="AM40" i="1" s="1"/>
  <c r="AH41" i="1"/>
  <c r="AM41" i="1" s="1"/>
  <c r="AH42" i="1"/>
  <c r="AM42" i="1" s="1"/>
  <c r="AH43" i="1"/>
  <c r="AM43" i="1" s="1"/>
  <c r="AH44" i="1"/>
  <c r="AM44" i="1" s="1"/>
  <c r="AH45" i="1"/>
  <c r="AH46" i="1"/>
  <c r="AM46" i="1" s="1"/>
  <c r="AH47" i="1"/>
  <c r="AM47" i="1" s="1"/>
  <c r="AH48" i="1"/>
  <c r="AM48" i="1" s="1"/>
  <c r="AH49" i="1"/>
  <c r="AM49" i="1" s="1"/>
  <c r="AH50" i="1"/>
  <c r="AM50" i="1" s="1"/>
  <c r="AH51" i="1"/>
  <c r="AM51" i="1" s="1"/>
  <c r="AH52" i="1"/>
  <c r="AM52" i="1" s="1"/>
  <c r="AH53" i="1"/>
  <c r="AM53" i="1" s="1"/>
  <c r="AH54" i="1"/>
  <c r="AM54" i="1" s="1"/>
  <c r="AH55" i="1"/>
  <c r="AM55" i="1" s="1"/>
  <c r="AH56" i="1"/>
  <c r="AM56" i="1" s="1"/>
  <c r="AH57" i="1"/>
  <c r="AM57" i="1" s="1"/>
  <c r="AH58" i="1"/>
  <c r="AM58" i="1" s="1"/>
  <c r="AH59" i="1"/>
  <c r="AM59" i="1" s="1"/>
  <c r="AH60" i="1"/>
  <c r="AM60" i="1" s="1"/>
  <c r="AH61" i="1"/>
  <c r="AM61" i="1" s="1"/>
  <c r="AH62" i="1"/>
  <c r="AM62" i="1" s="1"/>
  <c r="AH63" i="1"/>
  <c r="AM63" i="1" s="1"/>
  <c r="AH64" i="1"/>
  <c r="AM64" i="1" s="1"/>
  <c r="AH65" i="1"/>
  <c r="AM65" i="1" s="1"/>
  <c r="AH66" i="1"/>
  <c r="AH67" i="1"/>
  <c r="AM67" i="1" s="1"/>
  <c r="AH68" i="1"/>
  <c r="AM68" i="1" s="1"/>
  <c r="AH69" i="1"/>
  <c r="AM69" i="1" s="1"/>
  <c r="AH70" i="1"/>
  <c r="AM70" i="1" s="1"/>
  <c r="AH71" i="1"/>
  <c r="AM71" i="1" s="1"/>
  <c r="AH72" i="1"/>
  <c r="AM72" i="1" s="1"/>
  <c r="AH73" i="1"/>
  <c r="AM73" i="1" s="1"/>
  <c r="AH74" i="1"/>
  <c r="AM74" i="1" s="1"/>
  <c r="AH75" i="1"/>
  <c r="AM75" i="1" s="1"/>
  <c r="AH76" i="1"/>
  <c r="AM76" i="1" s="1"/>
  <c r="AH77" i="1"/>
  <c r="AM77" i="1" s="1"/>
  <c r="AH78" i="1"/>
  <c r="AM78" i="1" s="1"/>
  <c r="AH79" i="1"/>
  <c r="AM79" i="1" s="1"/>
  <c r="AH80" i="1"/>
  <c r="AM80" i="1" s="1"/>
  <c r="AH81" i="1"/>
  <c r="AH82" i="1"/>
  <c r="AM82" i="1" s="1"/>
  <c r="AH83" i="1"/>
  <c r="AM83" i="1" s="1"/>
  <c r="AH84" i="1"/>
  <c r="AM84" i="1" s="1"/>
  <c r="AH85" i="1"/>
  <c r="AM85" i="1" s="1"/>
  <c r="AH86" i="1"/>
  <c r="AM86" i="1" s="1"/>
  <c r="AH87" i="1"/>
  <c r="AM87" i="1" s="1"/>
  <c r="AH88" i="1"/>
  <c r="AM88" i="1" s="1"/>
  <c r="AH89" i="1"/>
  <c r="AM89" i="1" s="1"/>
  <c r="AH90" i="1"/>
  <c r="AM90" i="1" s="1"/>
  <c r="AH91" i="1"/>
  <c r="AM91" i="1" s="1"/>
  <c r="AH92" i="1"/>
  <c r="AM92" i="1" s="1"/>
  <c r="AH93" i="1"/>
  <c r="AM93" i="1" s="1"/>
  <c r="AH94" i="1"/>
  <c r="AM94" i="1" s="1"/>
  <c r="AH95" i="1"/>
  <c r="AM95" i="1" s="1"/>
  <c r="AH96" i="1"/>
  <c r="AM96" i="1" s="1"/>
  <c r="AH97" i="1"/>
  <c r="AM97" i="1" s="1"/>
  <c r="AH98" i="1"/>
  <c r="AM98" i="1" s="1"/>
  <c r="AH99" i="1"/>
  <c r="AM99" i="1" s="1"/>
  <c r="AH100" i="1"/>
  <c r="AM100" i="1" s="1"/>
  <c r="AH101" i="1"/>
  <c r="AM101" i="1" s="1"/>
  <c r="AH102" i="1"/>
  <c r="AM102" i="1" s="1"/>
  <c r="AH103" i="1"/>
  <c r="AM103" i="1" s="1"/>
  <c r="AH104" i="1"/>
  <c r="AM104" i="1" s="1"/>
  <c r="AH105" i="1"/>
  <c r="AH106" i="1"/>
  <c r="AM106" i="1" s="1"/>
  <c r="AM18" i="1"/>
  <c r="AM21" i="1"/>
  <c r="AM38" i="1"/>
  <c r="AM45" i="1"/>
  <c r="AM66" i="1"/>
  <c r="AM81" i="1"/>
  <c r="AM105" i="1"/>
  <c r="AB2" i="1"/>
  <c r="AD2" i="1" s="1"/>
  <c r="AB3" i="1"/>
  <c r="AD3" i="1" s="1"/>
  <c r="AB4" i="1"/>
  <c r="AD4" i="1" s="1"/>
  <c r="AB5" i="1"/>
  <c r="AD5" i="1" s="1"/>
  <c r="AB6" i="1"/>
  <c r="AD6" i="1" s="1"/>
  <c r="AB7" i="1"/>
  <c r="AD7" i="1" s="1"/>
  <c r="AB8" i="1"/>
  <c r="AD8" i="1" s="1"/>
  <c r="AB9" i="1"/>
  <c r="AD9" i="1" s="1"/>
  <c r="AB10" i="1"/>
  <c r="AD10" i="1" s="1"/>
  <c r="AB11" i="1"/>
  <c r="AD11" i="1" s="1"/>
  <c r="AB12" i="1"/>
  <c r="AD12" i="1" s="1"/>
  <c r="AB13" i="1"/>
  <c r="AD13" i="1" s="1"/>
  <c r="AB14" i="1"/>
  <c r="AD14" i="1" s="1"/>
  <c r="AB15" i="1"/>
  <c r="AD15" i="1" s="1"/>
  <c r="AB16" i="1"/>
  <c r="AD16" i="1" s="1"/>
  <c r="AB17" i="1"/>
  <c r="AD17" i="1" s="1"/>
  <c r="AB18" i="1"/>
  <c r="AD18" i="1" s="1"/>
  <c r="AB19" i="1"/>
  <c r="AD19" i="1" s="1"/>
  <c r="AB20" i="1"/>
  <c r="AD20" i="1" s="1"/>
  <c r="AB21" i="1"/>
  <c r="AD21" i="1" s="1"/>
  <c r="AB22" i="1"/>
  <c r="AD22" i="1" s="1"/>
  <c r="AB23" i="1"/>
  <c r="AD23" i="1" s="1"/>
  <c r="AB24" i="1"/>
  <c r="AD24" i="1" s="1"/>
  <c r="AB25" i="1"/>
  <c r="AD25" i="1" s="1"/>
  <c r="AB26" i="1"/>
  <c r="AD26" i="1" s="1"/>
  <c r="AB27" i="1"/>
  <c r="AD27" i="1" s="1"/>
  <c r="AB28" i="1"/>
  <c r="AD28" i="1" s="1"/>
  <c r="AB29" i="1"/>
  <c r="AD29" i="1" s="1"/>
  <c r="AB30" i="1"/>
  <c r="AD30" i="1" s="1"/>
  <c r="AB31" i="1"/>
  <c r="AD31" i="1" s="1"/>
  <c r="AB32" i="1"/>
  <c r="AD32" i="1" s="1"/>
  <c r="AB33" i="1"/>
  <c r="AD33" i="1" s="1"/>
  <c r="AB34" i="1"/>
  <c r="AD34" i="1" s="1"/>
  <c r="AB35" i="1"/>
  <c r="AD35" i="1" s="1"/>
  <c r="AB36" i="1"/>
  <c r="AD36" i="1" s="1"/>
  <c r="AB37" i="1"/>
  <c r="AD37" i="1" s="1"/>
  <c r="AB38" i="1"/>
  <c r="AD38" i="1" s="1"/>
  <c r="AB39" i="1"/>
  <c r="AD39" i="1" s="1"/>
  <c r="AB40" i="1"/>
  <c r="AD40" i="1" s="1"/>
  <c r="AB41" i="1"/>
  <c r="AD41" i="1" s="1"/>
  <c r="AB42" i="1"/>
  <c r="AD42" i="1" s="1"/>
  <c r="AB43" i="1"/>
  <c r="AD43" i="1" s="1"/>
  <c r="AB44" i="1"/>
  <c r="AD44" i="1" s="1"/>
  <c r="AB45" i="1"/>
  <c r="AD45" i="1" s="1"/>
  <c r="AB46" i="1"/>
  <c r="AD46" i="1" s="1"/>
  <c r="AB47" i="1"/>
  <c r="AD47" i="1" s="1"/>
  <c r="AB48" i="1"/>
  <c r="AD48" i="1" s="1"/>
  <c r="AB49" i="1"/>
  <c r="AD49" i="1" s="1"/>
  <c r="AB50" i="1"/>
  <c r="AD50" i="1" s="1"/>
  <c r="AB51" i="1"/>
  <c r="AD51" i="1" s="1"/>
  <c r="AB52" i="1"/>
  <c r="AD52" i="1" s="1"/>
  <c r="AB53" i="1"/>
  <c r="AD53" i="1" s="1"/>
  <c r="AB54" i="1"/>
  <c r="AD54" i="1" s="1"/>
  <c r="AB55" i="1"/>
  <c r="AD55" i="1" s="1"/>
  <c r="AB56" i="1"/>
  <c r="AD56" i="1" s="1"/>
  <c r="AB57" i="1"/>
  <c r="AD57" i="1" s="1"/>
  <c r="AB58" i="1"/>
  <c r="AD58" i="1" s="1"/>
  <c r="AB59" i="1"/>
  <c r="AD59" i="1" s="1"/>
  <c r="AB60" i="1"/>
  <c r="AD60" i="1" s="1"/>
  <c r="AB61" i="1"/>
  <c r="AD61" i="1" s="1"/>
  <c r="AB62" i="1"/>
  <c r="AD62" i="1" s="1"/>
  <c r="AB63" i="1"/>
  <c r="AD63" i="1" s="1"/>
  <c r="AB64" i="1"/>
  <c r="AD64" i="1" s="1"/>
  <c r="AB65" i="1"/>
  <c r="AD65" i="1" s="1"/>
  <c r="AB66" i="1"/>
  <c r="AD66" i="1" s="1"/>
  <c r="AB67" i="1"/>
  <c r="AD67" i="1" s="1"/>
  <c r="AB68" i="1"/>
  <c r="AD68" i="1" s="1"/>
  <c r="AB69" i="1"/>
  <c r="AD69" i="1" s="1"/>
  <c r="AB70" i="1"/>
  <c r="AD70" i="1" s="1"/>
  <c r="AB71" i="1"/>
  <c r="AD71" i="1" s="1"/>
  <c r="AB72" i="1"/>
  <c r="AD72" i="1" s="1"/>
  <c r="AB73" i="1"/>
  <c r="AD73" i="1" s="1"/>
  <c r="AB74" i="1"/>
  <c r="AD74" i="1" s="1"/>
  <c r="AB75" i="1"/>
  <c r="AD75" i="1" s="1"/>
  <c r="AB76" i="1"/>
  <c r="AD76" i="1" s="1"/>
  <c r="AB77" i="1"/>
  <c r="AD77" i="1" s="1"/>
  <c r="AB78" i="1"/>
  <c r="AD78" i="1" s="1"/>
  <c r="AB79" i="1"/>
  <c r="AD79" i="1" s="1"/>
  <c r="AB80" i="1"/>
  <c r="AD80" i="1" s="1"/>
  <c r="AB81" i="1"/>
  <c r="AD81" i="1" s="1"/>
  <c r="AB82" i="1"/>
  <c r="AD82" i="1" s="1"/>
  <c r="AB83" i="1"/>
  <c r="AD83" i="1" s="1"/>
  <c r="AB84" i="1"/>
  <c r="AD84" i="1" s="1"/>
  <c r="AB85" i="1"/>
  <c r="AD85" i="1" s="1"/>
  <c r="AB86" i="1"/>
  <c r="AD86" i="1" s="1"/>
  <c r="AB87" i="1"/>
  <c r="AD87" i="1" s="1"/>
  <c r="AB88" i="1"/>
  <c r="AD88" i="1" s="1"/>
  <c r="AB89" i="1"/>
  <c r="AD89" i="1" s="1"/>
  <c r="AB90" i="1"/>
  <c r="AD90" i="1" s="1"/>
  <c r="AB91" i="1"/>
  <c r="AD91" i="1" s="1"/>
  <c r="AB92" i="1"/>
  <c r="AD92" i="1" s="1"/>
  <c r="AB93" i="1"/>
  <c r="AD93" i="1" s="1"/>
  <c r="AB94" i="1"/>
  <c r="AD94" i="1" s="1"/>
  <c r="AB95" i="1"/>
  <c r="AD95" i="1" s="1"/>
  <c r="AB96" i="1"/>
  <c r="AD96" i="1" s="1"/>
  <c r="AB97" i="1"/>
  <c r="AD97" i="1" s="1"/>
  <c r="AB98" i="1"/>
  <c r="AD98" i="1" s="1"/>
  <c r="AB99" i="1"/>
  <c r="AD99" i="1" s="1"/>
  <c r="AB100" i="1"/>
  <c r="AD100" i="1" s="1"/>
  <c r="AB101" i="1"/>
  <c r="AD101" i="1" s="1"/>
  <c r="AB102" i="1"/>
  <c r="AD102" i="1" s="1"/>
  <c r="AB103" i="1"/>
  <c r="AD103" i="1" s="1"/>
  <c r="AB104" i="1"/>
  <c r="AD104" i="1" s="1"/>
  <c r="AB105" i="1"/>
  <c r="AD105" i="1" s="1"/>
  <c r="AB106" i="1"/>
  <c r="AD106" i="1" s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E306" i="3" l="1"/>
  <c r="D306" i="3" s="1"/>
  <c r="E307" i="3"/>
  <c r="D307" i="3" s="1"/>
  <c r="E298" i="3"/>
  <c r="D298" i="3" s="1"/>
  <c r="E299" i="3"/>
  <c r="D299" i="3" s="1"/>
  <c r="E300" i="3"/>
  <c r="D300" i="3" s="1"/>
  <c r="E301" i="3"/>
  <c r="D301" i="3" s="1"/>
  <c r="E302" i="3"/>
  <c r="D302" i="3" s="1"/>
  <c r="E303" i="3"/>
  <c r="D303" i="3" s="1"/>
  <c r="E304" i="3"/>
  <c r="D304" i="3" s="1"/>
  <c r="E305" i="3"/>
  <c r="D305" i="3" s="1"/>
  <c r="E287" i="3"/>
  <c r="D287" i="3" s="1"/>
  <c r="E288" i="3"/>
  <c r="D288" i="3" s="1"/>
  <c r="E289" i="3"/>
  <c r="D289" i="3" s="1"/>
  <c r="E290" i="3"/>
  <c r="D290" i="3" s="1"/>
  <c r="E291" i="3"/>
  <c r="D291" i="3" s="1"/>
  <c r="E292" i="3"/>
  <c r="H292" i="3" s="1"/>
  <c r="E293" i="3"/>
  <c r="D293" i="3" s="1"/>
  <c r="E294" i="3"/>
  <c r="D294" i="3" s="1"/>
  <c r="E295" i="3"/>
  <c r="D295" i="3" s="1"/>
  <c r="E296" i="3"/>
  <c r="H296" i="3" s="1"/>
  <c r="E297" i="3"/>
  <c r="D297" i="3" s="1"/>
  <c r="E277" i="3"/>
  <c r="D277" i="3" s="1"/>
  <c r="E278" i="3"/>
  <c r="D278" i="3" s="1"/>
  <c r="E279" i="3"/>
  <c r="H279" i="3" s="1"/>
  <c r="E280" i="3"/>
  <c r="D280" i="3" s="1"/>
  <c r="E281" i="3"/>
  <c r="D281" i="3" s="1"/>
  <c r="D282" i="3"/>
  <c r="E282" i="3"/>
  <c r="H282" i="3" s="1"/>
  <c r="E283" i="3"/>
  <c r="H283" i="3" s="1"/>
  <c r="E284" i="3"/>
  <c r="D284" i="3" s="1"/>
  <c r="H284" i="3"/>
  <c r="E285" i="3"/>
  <c r="D285" i="3" s="1"/>
  <c r="E286" i="3"/>
  <c r="H286" i="3" s="1"/>
  <c r="E264" i="3"/>
  <c r="D264" i="3" s="1"/>
  <c r="E265" i="3"/>
  <c r="D265" i="3" s="1"/>
  <c r="H265" i="3"/>
  <c r="E266" i="3"/>
  <c r="D266" i="3" s="1"/>
  <c r="E267" i="3"/>
  <c r="D267" i="3" s="1"/>
  <c r="E268" i="3"/>
  <c r="D268" i="3" s="1"/>
  <c r="E269" i="3"/>
  <c r="D269" i="3" s="1"/>
  <c r="E270" i="3"/>
  <c r="D270" i="3" s="1"/>
  <c r="E271" i="3"/>
  <c r="D271" i="3" s="1"/>
  <c r="E272" i="3"/>
  <c r="D272" i="3" s="1"/>
  <c r="E273" i="3"/>
  <c r="H273" i="3" s="1"/>
  <c r="E274" i="3"/>
  <c r="D274" i="3" s="1"/>
  <c r="E275" i="3"/>
  <c r="D275" i="3" s="1"/>
  <c r="H275" i="3"/>
  <c r="E276" i="3"/>
  <c r="D276" i="3" s="1"/>
  <c r="E252" i="3"/>
  <c r="D252" i="3" s="1"/>
  <c r="E253" i="3"/>
  <c r="D253" i="3" s="1"/>
  <c r="E254" i="3"/>
  <c r="D254" i="3" s="1"/>
  <c r="E255" i="3"/>
  <c r="D255" i="3" s="1"/>
  <c r="E256" i="3"/>
  <c r="D256" i="3" s="1"/>
  <c r="E257" i="3"/>
  <c r="D257" i="3" s="1"/>
  <c r="E258" i="3"/>
  <c r="D258" i="3" s="1"/>
  <c r="D259" i="3"/>
  <c r="E259" i="3"/>
  <c r="H259" i="3"/>
  <c r="E260" i="3"/>
  <c r="D260" i="3" s="1"/>
  <c r="E261" i="3"/>
  <c r="D261" i="3" s="1"/>
  <c r="E262" i="3"/>
  <c r="D262" i="3" s="1"/>
  <c r="E263" i="3"/>
  <c r="D263" i="3" s="1"/>
  <c r="E240" i="3"/>
  <c r="D240" i="3" s="1"/>
  <c r="D241" i="3"/>
  <c r="E241" i="3"/>
  <c r="H241" i="3"/>
  <c r="E242" i="3"/>
  <c r="D242" i="3" s="1"/>
  <c r="E243" i="3"/>
  <c r="D243" i="3" s="1"/>
  <c r="E244" i="3"/>
  <c r="D244" i="3" s="1"/>
  <c r="H244" i="3"/>
  <c r="E245" i="3"/>
  <c r="D245" i="3" s="1"/>
  <c r="E246" i="3"/>
  <c r="D246" i="3" s="1"/>
  <c r="E247" i="3"/>
  <c r="D247" i="3" s="1"/>
  <c r="E248" i="3"/>
  <c r="D248" i="3" s="1"/>
  <c r="E249" i="3"/>
  <c r="D249" i="3" s="1"/>
  <c r="E250" i="3"/>
  <c r="D250" i="3" s="1"/>
  <c r="E251" i="3"/>
  <c r="H251" i="3" s="1"/>
  <c r="E228" i="3"/>
  <c r="D228" i="3" s="1"/>
  <c r="E229" i="3"/>
  <c r="H229" i="3" s="1"/>
  <c r="E230" i="3"/>
  <c r="D230" i="3" s="1"/>
  <c r="H230" i="3"/>
  <c r="E231" i="3"/>
  <c r="D231" i="3" s="1"/>
  <c r="E232" i="3"/>
  <c r="D232" i="3" s="1"/>
  <c r="D233" i="3"/>
  <c r="E233" i="3"/>
  <c r="H233" i="3" s="1"/>
  <c r="E234" i="3"/>
  <c r="D234" i="3" s="1"/>
  <c r="E235" i="3"/>
  <c r="D235" i="3" s="1"/>
  <c r="E236" i="3"/>
  <c r="D236" i="3" s="1"/>
  <c r="H236" i="3"/>
  <c r="E237" i="3"/>
  <c r="H237" i="3" s="1"/>
  <c r="E238" i="3"/>
  <c r="D238" i="3" s="1"/>
  <c r="E239" i="3"/>
  <c r="D239" i="3" s="1"/>
  <c r="E218" i="3"/>
  <c r="D218" i="3" s="1"/>
  <c r="D219" i="3"/>
  <c r="E219" i="3"/>
  <c r="H219" i="3"/>
  <c r="E220" i="3"/>
  <c r="D220" i="3" s="1"/>
  <c r="E221" i="3"/>
  <c r="D221" i="3" s="1"/>
  <c r="E222" i="3"/>
  <c r="D222" i="3" s="1"/>
  <c r="E223" i="3"/>
  <c r="H223" i="3" s="1"/>
  <c r="E224" i="3"/>
  <c r="D224" i="3" s="1"/>
  <c r="E225" i="3"/>
  <c r="D225" i="3" s="1"/>
  <c r="E226" i="3"/>
  <c r="D226" i="3" s="1"/>
  <c r="E227" i="3"/>
  <c r="D227" i="3" s="1"/>
  <c r="E207" i="3"/>
  <c r="D207" i="3" s="1"/>
  <c r="E208" i="3"/>
  <c r="D208" i="3" s="1"/>
  <c r="E209" i="3"/>
  <c r="D209" i="3" s="1"/>
  <c r="E210" i="3"/>
  <c r="D210" i="3" s="1"/>
  <c r="E211" i="3"/>
  <c r="D211" i="3" s="1"/>
  <c r="E212" i="3"/>
  <c r="D212" i="3" s="1"/>
  <c r="E213" i="3"/>
  <c r="D213" i="3" s="1"/>
  <c r="E214" i="3"/>
  <c r="D214" i="3" s="1"/>
  <c r="E215" i="3"/>
  <c r="D215" i="3" s="1"/>
  <c r="E216" i="3"/>
  <c r="D216" i="3" s="1"/>
  <c r="E217" i="3"/>
  <c r="D217" i="3" s="1"/>
  <c r="E196" i="3"/>
  <c r="D196" i="3" s="1"/>
  <c r="E197" i="3"/>
  <c r="D197" i="3" s="1"/>
  <c r="H197" i="3"/>
  <c r="E198" i="3"/>
  <c r="D198" i="3" s="1"/>
  <c r="E199" i="3"/>
  <c r="D199" i="3" s="1"/>
  <c r="H199" i="3"/>
  <c r="E200" i="3"/>
  <c r="D200" i="3" s="1"/>
  <c r="E201" i="3"/>
  <c r="D201" i="3" s="1"/>
  <c r="E202" i="3"/>
  <c r="D202" i="3" s="1"/>
  <c r="E203" i="3"/>
  <c r="D203" i="3" s="1"/>
  <c r="E204" i="3"/>
  <c r="D204" i="3" s="1"/>
  <c r="E205" i="3"/>
  <c r="D205" i="3" s="1"/>
  <c r="E206" i="3"/>
  <c r="H206" i="3" s="1"/>
  <c r="E187" i="3"/>
  <c r="D187" i="3" s="1"/>
  <c r="E188" i="3"/>
  <c r="D188" i="3" s="1"/>
  <c r="E189" i="3"/>
  <c r="H189" i="3" s="1"/>
  <c r="E190" i="3"/>
  <c r="H190" i="3" s="1"/>
  <c r="E191" i="3"/>
  <c r="D191" i="3" s="1"/>
  <c r="E192" i="3"/>
  <c r="D192" i="3" s="1"/>
  <c r="E193" i="3"/>
  <c r="D193" i="3" s="1"/>
  <c r="E194" i="3"/>
  <c r="D194" i="3" s="1"/>
  <c r="E195" i="3"/>
  <c r="D195" i="3" s="1"/>
  <c r="E173" i="3"/>
  <c r="D173" i="3" s="1"/>
  <c r="E174" i="3"/>
  <c r="H174" i="3" s="1"/>
  <c r="E175" i="3"/>
  <c r="D175" i="3" s="1"/>
  <c r="E176" i="3"/>
  <c r="H176" i="3" s="1"/>
  <c r="E177" i="3"/>
  <c r="D177" i="3" s="1"/>
  <c r="H177" i="3"/>
  <c r="E178" i="3"/>
  <c r="D178" i="3" s="1"/>
  <c r="E179" i="3"/>
  <c r="D179" i="3" s="1"/>
  <c r="E180" i="3"/>
  <c r="D180" i="3" s="1"/>
  <c r="E181" i="3"/>
  <c r="D181" i="3" s="1"/>
  <c r="E182" i="3"/>
  <c r="H182" i="3" s="1"/>
  <c r="E183" i="3"/>
  <c r="D183" i="3" s="1"/>
  <c r="E184" i="3"/>
  <c r="D184" i="3" s="1"/>
  <c r="E185" i="3"/>
  <c r="D185" i="3" s="1"/>
  <c r="E186" i="3"/>
  <c r="H186" i="3" s="1"/>
  <c r="E162" i="3"/>
  <c r="D162" i="3" s="1"/>
  <c r="E163" i="3"/>
  <c r="H163" i="3" s="1"/>
  <c r="E164" i="3"/>
  <c r="D164" i="3" s="1"/>
  <c r="E165" i="3"/>
  <c r="D165" i="3" s="1"/>
  <c r="E166" i="3"/>
  <c r="D166" i="3" s="1"/>
  <c r="E167" i="3"/>
  <c r="H167" i="3" s="1"/>
  <c r="E168" i="3"/>
  <c r="D168" i="3" s="1"/>
  <c r="E169" i="3"/>
  <c r="D169" i="3" s="1"/>
  <c r="E170" i="3"/>
  <c r="D170" i="3" s="1"/>
  <c r="E171" i="3"/>
  <c r="H171" i="3" s="1"/>
  <c r="E172" i="3"/>
  <c r="D172" i="3" s="1"/>
  <c r="E149" i="3"/>
  <c r="D149" i="3" s="1"/>
  <c r="D150" i="3"/>
  <c r="E150" i="3"/>
  <c r="H150" i="3" s="1"/>
  <c r="E151" i="3"/>
  <c r="D151" i="3" s="1"/>
  <c r="H151" i="3"/>
  <c r="E152" i="3"/>
  <c r="D152" i="3" s="1"/>
  <c r="E153" i="3"/>
  <c r="D153" i="3" s="1"/>
  <c r="D154" i="3"/>
  <c r="E154" i="3"/>
  <c r="H154" i="3" s="1"/>
  <c r="E155" i="3"/>
  <c r="D155" i="3" s="1"/>
  <c r="E156" i="3"/>
  <c r="D156" i="3" s="1"/>
  <c r="E157" i="3"/>
  <c r="D157" i="3" s="1"/>
  <c r="E158" i="3"/>
  <c r="H158" i="3" s="1"/>
  <c r="E159" i="3"/>
  <c r="D159" i="3" s="1"/>
  <c r="E160" i="3"/>
  <c r="D160" i="3" s="1"/>
  <c r="E161" i="3"/>
  <c r="D161" i="3" s="1"/>
  <c r="E137" i="3"/>
  <c r="D137" i="3" s="1"/>
  <c r="E138" i="3"/>
  <c r="D138" i="3" s="1"/>
  <c r="E139" i="3"/>
  <c r="D139" i="3" s="1"/>
  <c r="H139" i="3"/>
  <c r="E140" i="3"/>
  <c r="D140" i="3" s="1"/>
  <c r="E141" i="3"/>
  <c r="D141" i="3" s="1"/>
  <c r="E142" i="3"/>
  <c r="D142" i="3" s="1"/>
  <c r="E143" i="3"/>
  <c r="D143" i="3" s="1"/>
  <c r="E144" i="3"/>
  <c r="D144" i="3" s="1"/>
  <c r="E145" i="3"/>
  <c r="D145" i="3" s="1"/>
  <c r="E146" i="3"/>
  <c r="D146" i="3" s="1"/>
  <c r="E147" i="3"/>
  <c r="D147" i="3" s="1"/>
  <c r="E148" i="3"/>
  <c r="D148" i="3" s="1"/>
  <c r="E118" i="3"/>
  <c r="D118" i="3" s="1"/>
  <c r="E119" i="3"/>
  <c r="D119" i="3" s="1"/>
  <c r="E120" i="3"/>
  <c r="D120" i="3" s="1"/>
  <c r="E121" i="3"/>
  <c r="D121" i="3" s="1"/>
  <c r="E122" i="3"/>
  <c r="D122" i="3" s="1"/>
  <c r="E123" i="3"/>
  <c r="D123" i="3" s="1"/>
  <c r="E124" i="3"/>
  <c r="D124" i="3" s="1"/>
  <c r="E125" i="3"/>
  <c r="D125" i="3" s="1"/>
  <c r="E126" i="3"/>
  <c r="D126" i="3" s="1"/>
  <c r="E127" i="3"/>
  <c r="D127" i="3" s="1"/>
  <c r="H127" i="3"/>
  <c r="E128" i="3"/>
  <c r="D128" i="3" s="1"/>
  <c r="E129" i="3"/>
  <c r="D129" i="3" s="1"/>
  <c r="E130" i="3"/>
  <c r="D130" i="3" s="1"/>
  <c r="E131" i="3"/>
  <c r="D131" i="3" s="1"/>
  <c r="E132" i="3"/>
  <c r="H132" i="3" s="1"/>
  <c r="E133" i="3"/>
  <c r="D133" i="3" s="1"/>
  <c r="E134" i="3"/>
  <c r="D134" i="3" s="1"/>
  <c r="D135" i="3"/>
  <c r="E135" i="3"/>
  <c r="H135" i="3"/>
  <c r="E136" i="3"/>
  <c r="D136" i="3" s="1"/>
  <c r="E97" i="3"/>
  <c r="D97" i="3" s="1"/>
  <c r="E98" i="3"/>
  <c r="D98" i="3" s="1"/>
  <c r="H98" i="3"/>
  <c r="E99" i="3"/>
  <c r="D99" i="3" s="1"/>
  <c r="E100" i="3"/>
  <c r="D100" i="3" s="1"/>
  <c r="E101" i="3"/>
  <c r="D101" i="3" s="1"/>
  <c r="E102" i="3"/>
  <c r="D102" i="3" s="1"/>
  <c r="E103" i="3"/>
  <c r="D103" i="3" s="1"/>
  <c r="E104" i="3"/>
  <c r="D104" i="3" s="1"/>
  <c r="E105" i="3"/>
  <c r="D105" i="3" s="1"/>
  <c r="E106" i="3"/>
  <c r="D106" i="3" s="1"/>
  <c r="E107" i="3"/>
  <c r="D107" i="3" s="1"/>
  <c r="H107" i="3"/>
  <c r="E108" i="3"/>
  <c r="D108" i="3" s="1"/>
  <c r="E109" i="3"/>
  <c r="D109" i="3" s="1"/>
  <c r="E110" i="3"/>
  <c r="D110" i="3" s="1"/>
  <c r="E111" i="3"/>
  <c r="D111" i="3" s="1"/>
  <c r="E112" i="3"/>
  <c r="D112" i="3" s="1"/>
  <c r="E113" i="3"/>
  <c r="D113" i="3" s="1"/>
  <c r="E114" i="3"/>
  <c r="H114" i="3" s="1"/>
  <c r="E115" i="3"/>
  <c r="D115" i="3" s="1"/>
  <c r="E116" i="3"/>
  <c r="D116" i="3" s="1"/>
  <c r="E117" i="3"/>
  <c r="D117" i="3" s="1"/>
  <c r="E94" i="3"/>
  <c r="D94" i="3" s="1"/>
  <c r="E95" i="3"/>
  <c r="D95" i="3" s="1"/>
  <c r="E96" i="3"/>
  <c r="D96" i="3" s="1"/>
  <c r="D114" i="3" l="1"/>
  <c r="D176" i="3"/>
  <c r="H102" i="3"/>
  <c r="H152" i="3"/>
  <c r="D251" i="3"/>
  <c r="H294" i="3"/>
  <c r="D182" i="3"/>
  <c r="H123" i="3"/>
  <c r="H207" i="3"/>
  <c r="D292" i="3"/>
  <c r="H131" i="3"/>
  <c r="H193" i="3"/>
  <c r="H172" i="3"/>
  <c r="H306" i="3"/>
  <c r="H119" i="3"/>
  <c r="H185" i="3"/>
  <c r="H191" i="3"/>
  <c r="H228" i="3"/>
  <c r="H305" i="3"/>
  <c r="D223" i="3"/>
  <c r="D174" i="3"/>
  <c r="D273" i="3"/>
  <c r="H260" i="3"/>
  <c r="D190" i="3"/>
  <c r="H106" i="3"/>
  <c r="H99" i="3"/>
  <c r="H147" i="3"/>
  <c r="H188" i="3"/>
  <c r="H200" i="3"/>
  <c r="H215" i="3"/>
  <c r="H227" i="3"/>
  <c r="H220" i="3"/>
  <c r="H243" i="3"/>
  <c r="H252" i="3"/>
  <c r="D279" i="3"/>
  <c r="H276" i="3"/>
  <c r="H285" i="3"/>
  <c r="H111" i="3"/>
  <c r="H160" i="3"/>
  <c r="H168" i="3"/>
  <c r="H184" i="3"/>
  <c r="H249" i="3"/>
  <c r="H268" i="3"/>
  <c r="H277" i="3"/>
  <c r="H110" i="3"/>
  <c r="H103" i="3"/>
  <c r="H143" i="3"/>
  <c r="H159" i="3"/>
  <c r="H205" i="3"/>
  <c r="H211" i="3"/>
  <c r="H224" i="3"/>
  <c r="H257" i="3"/>
  <c r="H267" i="3"/>
  <c r="H238" i="3"/>
  <c r="H295" i="3"/>
  <c r="H307" i="3"/>
  <c r="H115" i="3"/>
  <c r="H164" i="3"/>
  <c r="H287" i="3"/>
  <c r="H136" i="3"/>
  <c r="D132" i="3"/>
  <c r="H122" i="3"/>
  <c r="D158" i="3"/>
  <c r="D186" i="3"/>
  <c r="H180" i="3"/>
  <c r="D189" i="3"/>
  <c r="H203" i="3"/>
  <c r="H208" i="3"/>
  <c r="H218" i="3"/>
  <c r="H245" i="3"/>
  <c r="H240" i="3"/>
  <c r="H253" i="3"/>
  <c r="D286" i="3"/>
  <c r="H280" i="3"/>
  <c r="D296" i="3"/>
  <c r="H290" i="3"/>
  <c r="H113" i="3"/>
  <c r="H101" i="3"/>
  <c r="H126" i="3"/>
  <c r="H121" i="3"/>
  <c r="H156" i="3"/>
  <c r="D167" i="3"/>
  <c r="H192" i="3"/>
  <c r="H213" i="3"/>
  <c r="H232" i="3"/>
  <c r="H263" i="3"/>
  <c r="H272" i="3"/>
  <c r="H301" i="3"/>
  <c r="H130" i="3"/>
  <c r="H125" i="3"/>
  <c r="H120" i="3"/>
  <c r="H145" i="3"/>
  <c r="H137" i="3"/>
  <c r="H155" i="3"/>
  <c r="H178" i="3"/>
  <c r="H173" i="3"/>
  <c r="H187" i="3"/>
  <c r="H201" i="3"/>
  <c r="H196" i="3"/>
  <c r="H212" i="3"/>
  <c r="H222" i="3"/>
  <c r="H271" i="3"/>
  <c r="H278" i="3"/>
  <c r="H288" i="3"/>
  <c r="H117" i="3"/>
  <c r="H105" i="3"/>
  <c r="H134" i="3"/>
  <c r="H129" i="3"/>
  <c r="H124" i="3"/>
  <c r="H195" i="3"/>
  <c r="H217" i="3"/>
  <c r="D237" i="3"/>
  <c r="H248" i="3"/>
  <c r="H261" i="3"/>
  <c r="H256" i="3"/>
  <c r="D283" i="3"/>
  <c r="H133" i="3"/>
  <c r="H128" i="3"/>
  <c r="D171" i="3"/>
  <c r="D163" i="3"/>
  <c r="H194" i="3"/>
  <c r="H216" i="3"/>
  <c r="H226" i="3"/>
  <c r="D229" i="3"/>
  <c r="H247" i="3"/>
  <c r="H255" i="3"/>
  <c r="H269" i="3"/>
  <c r="H264" i="3"/>
  <c r="H109" i="3"/>
  <c r="H97" i="3"/>
  <c r="H118" i="3"/>
  <c r="H141" i="3"/>
  <c r="H181" i="3"/>
  <c r="H204" i="3"/>
  <c r="H209" i="3"/>
  <c r="H234" i="3"/>
  <c r="H281" i="3"/>
  <c r="H291" i="3"/>
  <c r="H304" i="3"/>
  <c r="H300" i="3"/>
  <c r="H303" i="3"/>
  <c r="H299" i="3"/>
  <c r="H302" i="3"/>
  <c r="H298" i="3"/>
  <c r="H297" i="3"/>
  <c r="H293" i="3"/>
  <c r="H289" i="3"/>
  <c r="H274" i="3"/>
  <c r="H270" i="3"/>
  <c r="H266" i="3"/>
  <c r="H262" i="3"/>
  <c r="H258" i="3"/>
  <c r="H254" i="3"/>
  <c r="H250" i="3"/>
  <c r="H246" i="3"/>
  <c r="H242" i="3"/>
  <c r="H239" i="3"/>
  <c r="H235" i="3"/>
  <c r="H231" i="3"/>
  <c r="H225" i="3"/>
  <c r="H221" i="3"/>
  <c r="H214" i="3"/>
  <c r="H210" i="3"/>
  <c r="D206" i="3"/>
  <c r="H202" i="3"/>
  <c r="H198" i="3"/>
  <c r="H183" i="3"/>
  <c r="H179" i="3"/>
  <c r="H175" i="3"/>
  <c r="H169" i="3"/>
  <c r="H165" i="3"/>
  <c r="H170" i="3"/>
  <c r="H166" i="3"/>
  <c r="H162" i="3"/>
  <c r="H161" i="3"/>
  <c r="H157" i="3"/>
  <c r="H153" i="3"/>
  <c r="H149" i="3"/>
  <c r="H148" i="3"/>
  <c r="H144" i="3"/>
  <c r="H140" i="3"/>
  <c r="H146" i="3"/>
  <c r="H142" i="3"/>
  <c r="H138" i="3"/>
  <c r="H116" i="3"/>
  <c r="H112" i="3"/>
  <c r="H108" i="3"/>
  <c r="H104" i="3"/>
  <c r="H100" i="3"/>
  <c r="H95" i="3"/>
  <c r="H94" i="3"/>
  <c r="H96" i="3"/>
  <c r="E3" i="3" l="1"/>
  <c r="H3" i="3" s="1"/>
  <c r="E4" i="3"/>
  <c r="D4" i="3" s="1"/>
  <c r="E5" i="3"/>
  <c r="D5" i="3" s="1"/>
  <c r="E6" i="3"/>
  <c r="H6" i="3" s="1"/>
  <c r="E7" i="3"/>
  <c r="D7" i="3" s="1"/>
  <c r="E8" i="3"/>
  <c r="D8" i="3" s="1"/>
  <c r="E9" i="3"/>
  <c r="D9" i="3" s="1"/>
  <c r="E10" i="3"/>
  <c r="D10" i="3" s="1"/>
  <c r="E11" i="3"/>
  <c r="H11" i="3" s="1"/>
  <c r="E12" i="3"/>
  <c r="D12" i="3" s="1"/>
  <c r="E13" i="3"/>
  <c r="H13" i="3" s="1"/>
  <c r="E14" i="3"/>
  <c r="H14" i="3" s="1"/>
  <c r="E15" i="3"/>
  <c r="H15" i="3" s="1"/>
  <c r="E16" i="3"/>
  <c r="H16" i="3" s="1"/>
  <c r="E17" i="3"/>
  <c r="D17" i="3" s="1"/>
  <c r="E18" i="3"/>
  <c r="H18" i="3" s="1"/>
  <c r="E19" i="3"/>
  <c r="D19" i="3" s="1"/>
  <c r="E20" i="3"/>
  <c r="D20" i="3" s="1"/>
  <c r="E21" i="3"/>
  <c r="H21" i="3" s="1"/>
  <c r="E22" i="3"/>
  <c r="D22" i="3" s="1"/>
  <c r="E23" i="3"/>
  <c r="H23" i="3" s="1"/>
  <c r="E24" i="3"/>
  <c r="D24" i="3" s="1"/>
  <c r="E25" i="3"/>
  <c r="H25" i="3" s="1"/>
  <c r="E26" i="3"/>
  <c r="H26" i="3" s="1"/>
  <c r="E27" i="3"/>
  <c r="H27" i="3" s="1"/>
  <c r="E28" i="3"/>
  <c r="D28" i="3" s="1"/>
  <c r="E29" i="3"/>
  <c r="D29" i="3" s="1"/>
  <c r="E30" i="3"/>
  <c r="D30" i="3" s="1"/>
  <c r="E31" i="3"/>
  <c r="D31" i="3" s="1"/>
  <c r="E32" i="3"/>
  <c r="H32" i="3" s="1"/>
  <c r="E33" i="3"/>
  <c r="D33" i="3" s="1"/>
  <c r="E34" i="3"/>
  <c r="D34" i="3" s="1"/>
  <c r="E35" i="3"/>
  <c r="D35" i="3" s="1"/>
  <c r="E36" i="3"/>
  <c r="D36" i="3" s="1"/>
  <c r="E37" i="3"/>
  <c r="D37" i="3" s="1"/>
  <c r="E38" i="3"/>
  <c r="H38" i="3" s="1"/>
  <c r="E39" i="3"/>
  <c r="H39" i="3" s="1"/>
  <c r="E40" i="3"/>
  <c r="D40" i="3" s="1"/>
  <c r="E41" i="3"/>
  <c r="H41" i="3" s="1"/>
  <c r="E42" i="3"/>
  <c r="D42" i="3" s="1"/>
  <c r="E43" i="3"/>
  <c r="D43" i="3" s="1"/>
  <c r="E44" i="3"/>
  <c r="H44" i="3" s="1"/>
  <c r="E45" i="3"/>
  <c r="D45" i="3" s="1"/>
  <c r="E46" i="3"/>
  <c r="D46" i="3" s="1"/>
  <c r="E47" i="3"/>
  <c r="D47" i="3" s="1"/>
  <c r="E48" i="3"/>
  <c r="D48" i="3" s="1"/>
  <c r="E49" i="3"/>
  <c r="D49" i="3" s="1"/>
  <c r="E50" i="3"/>
  <c r="H50" i="3" s="1"/>
  <c r="E51" i="3"/>
  <c r="H51" i="3" s="1"/>
  <c r="E52" i="3"/>
  <c r="D52" i="3" s="1"/>
  <c r="E53" i="3"/>
  <c r="D53" i="3" s="1"/>
  <c r="E54" i="3"/>
  <c r="D54" i="3" s="1"/>
  <c r="E55" i="3"/>
  <c r="D55" i="3" s="1"/>
  <c r="E56" i="3"/>
  <c r="H56" i="3" s="1"/>
  <c r="E57" i="3"/>
  <c r="D57" i="3" s="1"/>
  <c r="E58" i="3"/>
  <c r="D58" i="3" s="1"/>
  <c r="E59" i="3"/>
  <c r="D59" i="3" s="1"/>
  <c r="E60" i="3"/>
  <c r="D60" i="3" s="1"/>
  <c r="E61" i="3"/>
  <c r="D61" i="3" s="1"/>
  <c r="E62" i="3"/>
  <c r="H62" i="3" s="1"/>
  <c r="E63" i="3"/>
  <c r="H63" i="3" s="1"/>
  <c r="E64" i="3"/>
  <c r="D64" i="3" s="1"/>
  <c r="E65" i="3"/>
  <c r="D65" i="3" s="1"/>
  <c r="E66" i="3"/>
  <c r="D66" i="3" s="1"/>
  <c r="E67" i="3"/>
  <c r="D67" i="3" s="1"/>
  <c r="E68" i="3"/>
  <c r="H68" i="3" s="1"/>
  <c r="E69" i="3"/>
  <c r="D69" i="3" s="1"/>
  <c r="E70" i="3"/>
  <c r="D70" i="3" s="1"/>
  <c r="E71" i="3"/>
  <c r="D71" i="3" s="1"/>
  <c r="E72" i="3"/>
  <c r="D72" i="3" s="1"/>
  <c r="E73" i="3"/>
  <c r="D73" i="3" s="1"/>
  <c r="E74" i="3"/>
  <c r="H74" i="3" s="1"/>
  <c r="E75" i="3"/>
  <c r="H75" i="3" s="1"/>
  <c r="E76" i="3"/>
  <c r="D76" i="3" s="1"/>
  <c r="E77" i="3"/>
  <c r="D77" i="3" s="1"/>
  <c r="E78" i="3"/>
  <c r="D78" i="3" s="1"/>
  <c r="E79" i="3"/>
  <c r="D79" i="3" s="1"/>
  <c r="E80" i="3"/>
  <c r="H80" i="3" s="1"/>
  <c r="E81" i="3"/>
  <c r="D81" i="3" s="1"/>
  <c r="E82" i="3"/>
  <c r="D82" i="3" s="1"/>
  <c r="E83" i="3"/>
  <c r="D83" i="3" s="1"/>
  <c r="E84" i="3"/>
  <c r="D84" i="3" s="1"/>
  <c r="E85" i="3"/>
  <c r="D85" i="3" s="1"/>
  <c r="E86" i="3"/>
  <c r="H86" i="3" s="1"/>
  <c r="E87" i="3"/>
  <c r="H87" i="3" s="1"/>
  <c r="E88" i="3"/>
  <c r="D88" i="3" s="1"/>
  <c r="E89" i="3"/>
  <c r="D89" i="3" s="1"/>
  <c r="E90" i="3"/>
  <c r="D90" i="3" s="1"/>
  <c r="E91" i="3"/>
  <c r="D91" i="3" s="1"/>
  <c r="E92" i="3"/>
  <c r="H92" i="3" s="1"/>
  <c r="E93" i="3"/>
  <c r="D93" i="3" s="1"/>
  <c r="H77" i="3" l="1"/>
  <c r="H65" i="3"/>
  <c r="H53" i="3"/>
  <c r="H29" i="3"/>
  <c r="D41" i="3"/>
  <c r="H52" i="3"/>
  <c r="D68" i="3"/>
  <c r="H91" i="3"/>
  <c r="H43" i="3"/>
  <c r="H89" i="3"/>
  <c r="D56" i="3"/>
  <c r="H88" i="3"/>
  <c r="H40" i="3"/>
  <c r="H79" i="3"/>
  <c r="H31" i="3"/>
  <c r="D44" i="3"/>
  <c r="H76" i="3"/>
  <c r="H28" i="3"/>
  <c r="D32" i="3"/>
  <c r="H67" i="3"/>
  <c r="H8" i="3"/>
  <c r="D92" i="3"/>
  <c r="D16" i="3"/>
  <c r="H64" i="3"/>
  <c r="H55" i="3"/>
  <c r="D80" i="3"/>
  <c r="H73" i="3"/>
  <c r="H37" i="3"/>
  <c r="H22" i="3"/>
  <c r="H84" i="3"/>
  <c r="H72" i="3"/>
  <c r="H60" i="3"/>
  <c r="H48" i="3"/>
  <c r="H36" i="3"/>
  <c r="H20" i="3"/>
  <c r="H85" i="3"/>
  <c r="H61" i="3"/>
  <c r="H49" i="3"/>
  <c r="H83" i="3"/>
  <c r="H71" i="3"/>
  <c r="H59" i="3"/>
  <c r="H47" i="3"/>
  <c r="H35" i="3"/>
  <c r="D87" i="3"/>
  <c r="D75" i="3"/>
  <c r="D63" i="3"/>
  <c r="D51" i="3"/>
  <c r="D39" i="3"/>
  <c r="D27" i="3"/>
  <c r="H82" i="3"/>
  <c r="H70" i="3"/>
  <c r="H58" i="3"/>
  <c r="H46" i="3"/>
  <c r="H34" i="3"/>
  <c r="H12" i="3"/>
  <c r="D86" i="3"/>
  <c r="D74" i="3"/>
  <c r="D62" i="3"/>
  <c r="D50" i="3"/>
  <c r="D38" i="3"/>
  <c r="H93" i="3"/>
  <c r="H81" i="3"/>
  <c r="H69" i="3"/>
  <c r="H57" i="3"/>
  <c r="H45" i="3"/>
  <c r="H33" i="3"/>
  <c r="H10" i="3"/>
  <c r="H9" i="3"/>
  <c r="D18" i="3"/>
  <c r="H90" i="3"/>
  <c r="H78" i="3"/>
  <c r="H66" i="3"/>
  <c r="H54" i="3"/>
  <c r="H42" i="3"/>
  <c r="H30" i="3"/>
  <c r="H4" i="3"/>
  <c r="D6" i="3"/>
  <c r="H24" i="3"/>
  <c r="H19" i="3"/>
  <c r="H7" i="3"/>
  <c r="D15" i="3"/>
  <c r="D3" i="3"/>
  <c r="D26" i="3"/>
  <c r="D14" i="3"/>
  <c r="H17" i="3"/>
  <c r="H5" i="3"/>
  <c r="D25" i="3"/>
  <c r="D13" i="3"/>
  <c r="D23" i="3"/>
  <c r="D11" i="3"/>
  <c r="D21" i="3"/>
  <c r="E2" i="3"/>
  <c r="D2" i="3" s="1"/>
  <c r="H2" i="3" l="1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2" i="4"/>
  <c r="J303" i="4" l="1"/>
  <c r="H303" i="4"/>
  <c r="D303" i="4"/>
  <c r="J302" i="4"/>
  <c r="H302" i="4"/>
  <c r="D302" i="4"/>
  <c r="J301" i="4"/>
  <c r="H301" i="4"/>
  <c r="D301" i="4"/>
  <c r="J300" i="4"/>
  <c r="H300" i="4"/>
  <c r="D300" i="4"/>
  <c r="J299" i="4"/>
  <c r="H299" i="4"/>
  <c r="D299" i="4"/>
  <c r="J298" i="4"/>
  <c r="H298" i="4"/>
  <c r="D298" i="4"/>
  <c r="J297" i="4"/>
  <c r="H297" i="4"/>
  <c r="D297" i="4"/>
  <c r="J296" i="4"/>
  <c r="H296" i="4"/>
  <c r="D296" i="4"/>
  <c r="J295" i="4"/>
  <c r="H295" i="4"/>
  <c r="D295" i="4"/>
  <c r="J294" i="4"/>
  <c r="H294" i="4"/>
  <c r="D294" i="4"/>
  <c r="J293" i="4"/>
  <c r="H293" i="4"/>
  <c r="D293" i="4"/>
  <c r="J292" i="4"/>
  <c r="H292" i="4"/>
  <c r="D292" i="4"/>
  <c r="J291" i="4"/>
  <c r="H291" i="4"/>
  <c r="D291" i="4"/>
  <c r="J290" i="4"/>
  <c r="H290" i="4"/>
  <c r="D290" i="4"/>
  <c r="J289" i="4"/>
  <c r="H289" i="4"/>
  <c r="D289" i="4"/>
  <c r="J288" i="4"/>
  <c r="H288" i="4"/>
  <c r="D288" i="4"/>
  <c r="J287" i="4"/>
  <c r="H287" i="4"/>
  <c r="D287" i="4"/>
  <c r="J286" i="4"/>
  <c r="H286" i="4"/>
  <c r="D286" i="4"/>
  <c r="J285" i="4"/>
  <c r="H285" i="4"/>
  <c r="D285" i="4"/>
  <c r="J284" i="4"/>
  <c r="H284" i="4"/>
  <c r="D284" i="4"/>
  <c r="J283" i="4"/>
  <c r="H283" i="4"/>
  <c r="D283" i="4"/>
  <c r="J282" i="4"/>
  <c r="H282" i="4"/>
  <c r="D282" i="4"/>
  <c r="J281" i="4"/>
  <c r="H281" i="4"/>
  <c r="D281" i="4"/>
  <c r="J280" i="4"/>
  <c r="H280" i="4"/>
  <c r="D280" i="4"/>
  <c r="J279" i="4"/>
  <c r="H279" i="4"/>
  <c r="D279" i="4"/>
  <c r="J278" i="4"/>
  <c r="H278" i="4"/>
  <c r="D278" i="4"/>
  <c r="J277" i="4"/>
  <c r="H277" i="4"/>
  <c r="D277" i="4"/>
  <c r="J276" i="4"/>
  <c r="H276" i="4"/>
  <c r="D276" i="4"/>
  <c r="J275" i="4"/>
  <c r="H275" i="4"/>
  <c r="D275" i="4"/>
  <c r="J274" i="4"/>
  <c r="H274" i="4"/>
  <c r="D274" i="4"/>
  <c r="J273" i="4"/>
  <c r="H273" i="4"/>
  <c r="D273" i="4"/>
  <c r="J272" i="4"/>
  <c r="H272" i="4"/>
  <c r="D272" i="4"/>
  <c r="J271" i="4"/>
  <c r="H271" i="4"/>
  <c r="D271" i="4"/>
  <c r="J270" i="4"/>
  <c r="H270" i="4"/>
  <c r="D270" i="4"/>
  <c r="J269" i="4"/>
  <c r="H269" i="4"/>
  <c r="D269" i="4"/>
  <c r="J268" i="4"/>
  <c r="H268" i="4"/>
  <c r="D268" i="4"/>
  <c r="J267" i="4"/>
  <c r="H267" i="4"/>
  <c r="D267" i="4"/>
  <c r="J266" i="4"/>
  <c r="H266" i="4"/>
  <c r="D266" i="4"/>
  <c r="J265" i="4"/>
  <c r="H265" i="4"/>
  <c r="D265" i="4"/>
  <c r="J264" i="4"/>
  <c r="H264" i="4"/>
  <c r="D264" i="4"/>
  <c r="J263" i="4"/>
  <c r="H263" i="4"/>
  <c r="D263" i="4"/>
  <c r="J262" i="4"/>
  <c r="H262" i="4"/>
  <c r="D262" i="4"/>
  <c r="J261" i="4"/>
  <c r="H261" i="4"/>
  <c r="D261" i="4"/>
  <c r="J260" i="4"/>
  <c r="H260" i="4"/>
  <c r="D260" i="4"/>
  <c r="J259" i="4"/>
  <c r="H259" i="4"/>
  <c r="D259" i="4"/>
  <c r="J258" i="4"/>
  <c r="H258" i="4"/>
  <c r="D258" i="4"/>
  <c r="J257" i="4"/>
  <c r="H257" i="4"/>
  <c r="D257" i="4"/>
  <c r="J256" i="4"/>
  <c r="H256" i="4"/>
  <c r="D256" i="4"/>
  <c r="J255" i="4"/>
  <c r="H255" i="4"/>
  <c r="D255" i="4"/>
  <c r="J254" i="4"/>
  <c r="H254" i="4"/>
  <c r="D254" i="4"/>
  <c r="J253" i="4"/>
  <c r="H253" i="4"/>
  <c r="D253" i="4"/>
  <c r="J252" i="4"/>
  <c r="H252" i="4"/>
  <c r="D252" i="4"/>
  <c r="J251" i="4"/>
  <c r="H251" i="4"/>
  <c r="D251" i="4"/>
  <c r="J250" i="4"/>
  <c r="H250" i="4"/>
  <c r="D250" i="4"/>
  <c r="J249" i="4"/>
  <c r="H249" i="4"/>
  <c r="D249" i="4"/>
  <c r="J248" i="4"/>
  <c r="H248" i="4"/>
  <c r="D248" i="4"/>
  <c r="J247" i="4"/>
  <c r="H247" i="4"/>
  <c r="D247" i="4"/>
  <c r="J246" i="4"/>
  <c r="H246" i="4"/>
  <c r="D246" i="4"/>
  <c r="J245" i="4"/>
  <c r="H245" i="4"/>
  <c r="D245" i="4"/>
  <c r="J244" i="4"/>
  <c r="H244" i="4"/>
  <c r="D244" i="4"/>
  <c r="J243" i="4"/>
  <c r="H243" i="4"/>
  <c r="D243" i="4"/>
  <c r="J242" i="4"/>
  <c r="H242" i="4"/>
  <c r="D242" i="4"/>
  <c r="J241" i="4"/>
  <c r="H241" i="4"/>
  <c r="D241" i="4"/>
  <c r="J240" i="4"/>
  <c r="H240" i="4"/>
  <c r="D240" i="4"/>
  <c r="J239" i="4"/>
  <c r="H239" i="4"/>
  <c r="D239" i="4"/>
  <c r="J238" i="4"/>
  <c r="H238" i="4"/>
  <c r="D238" i="4"/>
  <c r="J237" i="4"/>
  <c r="H237" i="4"/>
  <c r="D237" i="4"/>
  <c r="J236" i="4"/>
  <c r="H236" i="4"/>
  <c r="D236" i="4"/>
  <c r="J235" i="4"/>
  <c r="H235" i="4"/>
  <c r="D235" i="4"/>
  <c r="J234" i="4"/>
  <c r="H234" i="4"/>
  <c r="D234" i="4"/>
  <c r="J233" i="4"/>
  <c r="H233" i="4"/>
  <c r="D233" i="4"/>
  <c r="J232" i="4"/>
  <c r="H232" i="4"/>
  <c r="D232" i="4"/>
  <c r="J231" i="4"/>
  <c r="H231" i="4"/>
  <c r="D231" i="4"/>
  <c r="J230" i="4"/>
  <c r="H230" i="4"/>
  <c r="D230" i="4"/>
  <c r="J229" i="4"/>
  <c r="H229" i="4"/>
  <c r="D229" i="4"/>
  <c r="J228" i="4"/>
  <c r="H228" i="4"/>
  <c r="D228" i="4"/>
  <c r="J227" i="4"/>
  <c r="H227" i="4"/>
  <c r="D227" i="4"/>
  <c r="J226" i="4"/>
  <c r="H226" i="4"/>
  <c r="D226" i="4"/>
  <c r="J225" i="4"/>
  <c r="H225" i="4"/>
  <c r="D225" i="4"/>
  <c r="J224" i="4"/>
  <c r="H224" i="4"/>
  <c r="D224" i="4"/>
  <c r="J223" i="4"/>
  <c r="H223" i="4"/>
  <c r="D223" i="4"/>
  <c r="J222" i="4"/>
  <c r="H222" i="4"/>
  <c r="D222" i="4"/>
  <c r="J221" i="4"/>
  <c r="H221" i="4"/>
  <c r="D221" i="4"/>
  <c r="J220" i="4"/>
  <c r="H220" i="4"/>
  <c r="D220" i="4"/>
  <c r="J219" i="4"/>
  <c r="H219" i="4"/>
  <c r="D219" i="4"/>
  <c r="J218" i="4"/>
  <c r="H218" i="4"/>
  <c r="D218" i="4"/>
  <c r="J217" i="4"/>
  <c r="H217" i="4"/>
  <c r="D217" i="4"/>
  <c r="J216" i="4"/>
  <c r="H216" i="4"/>
  <c r="D216" i="4"/>
  <c r="J215" i="4"/>
  <c r="H215" i="4"/>
  <c r="D215" i="4"/>
  <c r="J214" i="4"/>
  <c r="H214" i="4"/>
  <c r="D214" i="4"/>
  <c r="J213" i="4"/>
  <c r="H213" i="4"/>
  <c r="D213" i="4"/>
  <c r="J212" i="4"/>
  <c r="H212" i="4"/>
  <c r="D212" i="4"/>
  <c r="J211" i="4"/>
  <c r="H211" i="4"/>
  <c r="D211" i="4"/>
  <c r="J210" i="4"/>
  <c r="H210" i="4"/>
  <c r="D210" i="4"/>
  <c r="J209" i="4"/>
  <c r="H209" i="4"/>
  <c r="D209" i="4"/>
  <c r="J208" i="4"/>
  <c r="H208" i="4"/>
  <c r="D208" i="4"/>
  <c r="J207" i="4"/>
  <c r="H207" i="4"/>
  <c r="D207" i="4"/>
  <c r="J206" i="4"/>
  <c r="H206" i="4"/>
  <c r="D206" i="4"/>
  <c r="J205" i="4"/>
  <c r="H205" i="4"/>
  <c r="D205" i="4"/>
  <c r="J204" i="4"/>
  <c r="H204" i="4"/>
  <c r="D204" i="4"/>
  <c r="J203" i="4"/>
  <c r="H203" i="4"/>
  <c r="D203" i="4"/>
  <c r="J202" i="4"/>
  <c r="H202" i="4"/>
  <c r="D202" i="4"/>
  <c r="J201" i="4"/>
  <c r="H201" i="4"/>
  <c r="D201" i="4"/>
  <c r="J200" i="4"/>
  <c r="H200" i="4"/>
  <c r="D200" i="4"/>
  <c r="J199" i="4"/>
  <c r="H199" i="4"/>
  <c r="D199" i="4"/>
  <c r="J198" i="4"/>
  <c r="H198" i="4"/>
  <c r="D198" i="4"/>
  <c r="J197" i="4"/>
  <c r="H197" i="4"/>
  <c r="D197" i="4"/>
  <c r="J196" i="4"/>
  <c r="H196" i="4"/>
  <c r="D196" i="4"/>
  <c r="J195" i="4"/>
  <c r="H195" i="4"/>
  <c r="D195" i="4"/>
  <c r="J194" i="4"/>
  <c r="H194" i="4"/>
  <c r="D194" i="4"/>
  <c r="J193" i="4"/>
  <c r="H193" i="4"/>
  <c r="D193" i="4"/>
  <c r="J192" i="4"/>
  <c r="H192" i="4"/>
  <c r="D192" i="4"/>
  <c r="J191" i="4"/>
  <c r="H191" i="4"/>
  <c r="D191" i="4"/>
  <c r="J190" i="4"/>
  <c r="H190" i="4"/>
  <c r="D190" i="4"/>
  <c r="J189" i="4"/>
  <c r="H189" i="4"/>
  <c r="D189" i="4"/>
  <c r="J188" i="4"/>
  <c r="H188" i="4"/>
  <c r="D188" i="4"/>
  <c r="J187" i="4"/>
  <c r="H187" i="4"/>
  <c r="D187" i="4"/>
  <c r="J186" i="4"/>
  <c r="H186" i="4"/>
  <c r="D186" i="4"/>
  <c r="J185" i="4"/>
  <c r="H185" i="4"/>
  <c r="D185" i="4"/>
  <c r="J184" i="4"/>
  <c r="H184" i="4"/>
  <c r="D184" i="4"/>
  <c r="J183" i="4"/>
  <c r="H183" i="4"/>
  <c r="D183" i="4"/>
  <c r="J182" i="4"/>
  <c r="H182" i="4"/>
  <c r="D182" i="4"/>
  <c r="J181" i="4"/>
  <c r="H181" i="4"/>
  <c r="D181" i="4"/>
  <c r="J180" i="4"/>
  <c r="H180" i="4"/>
  <c r="D180" i="4"/>
  <c r="J179" i="4"/>
  <c r="H179" i="4"/>
  <c r="D179" i="4"/>
  <c r="J178" i="4"/>
  <c r="H178" i="4"/>
  <c r="D178" i="4"/>
  <c r="J177" i="4"/>
  <c r="H177" i="4"/>
  <c r="D177" i="4"/>
  <c r="J176" i="4"/>
  <c r="H176" i="4"/>
  <c r="D176" i="4"/>
  <c r="J175" i="4"/>
  <c r="H175" i="4"/>
  <c r="D175" i="4"/>
  <c r="J174" i="4"/>
  <c r="H174" i="4"/>
  <c r="D174" i="4"/>
  <c r="J173" i="4"/>
  <c r="H173" i="4"/>
  <c r="D173" i="4"/>
  <c r="J172" i="4"/>
  <c r="H172" i="4"/>
  <c r="D172" i="4"/>
  <c r="J171" i="4"/>
  <c r="H171" i="4"/>
  <c r="D171" i="4"/>
  <c r="J170" i="4"/>
  <c r="H170" i="4"/>
  <c r="D170" i="4"/>
  <c r="J169" i="4"/>
  <c r="H169" i="4"/>
  <c r="D169" i="4"/>
  <c r="J168" i="4"/>
  <c r="H168" i="4"/>
  <c r="D168" i="4"/>
  <c r="J167" i="4"/>
  <c r="H167" i="4"/>
  <c r="D167" i="4"/>
  <c r="J166" i="4"/>
  <c r="H166" i="4"/>
  <c r="D166" i="4"/>
  <c r="J165" i="4"/>
  <c r="H165" i="4"/>
  <c r="D165" i="4"/>
  <c r="J164" i="4"/>
  <c r="H164" i="4"/>
  <c r="D164" i="4"/>
  <c r="J163" i="4"/>
  <c r="H163" i="4"/>
  <c r="D163" i="4"/>
  <c r="J162" i="4"/>
  <c r="H162" i="4"/>
  <c r="D162" i="4"/>
  <c r="J161" i="4"/>
  <c r="H161" i="4"/>
  <c r="D161" i="4"/>
  <c r="J160" i="4"/>
  <c r="H160" i="4"/>
  <c r="D160" i="4"/>
  <c r="J159" i="4"/>
  <c r="H159" i="4"/>
  <c r="D159" i="4"/>
  <c r="J158" i="4"/>
  <c r="H158" i="4"/>
  <c r="D158" i="4"/>
  <c r="J157" i="4"/>
  <c r="H157" i="4"/>
  <c r="D157" i="4"/>
  <c r="J156" i="4"/>
  <c r="H156" i="4"/>
  <c r="D156" i="4"/>
  <c r="J155" i="4"/>
  <c r="H155" i="4"/>
  <c r="D155" i="4"/>
  <c r="J154" i="4"/>
  <c r="H154" i="4"/>
  <c r="D154" i="4"/>
  <c r="H148" i="4" l="1"/>
  <c r="D68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H8" i="4" l="1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9" i="4"/>
  <c r="H150" i="4"/>
  <c r="H151" i="4"/>
  <c r="H152" i="4"/>
  <c r="H153" i="4"/>
  <c r="H3" i="4"/>
  <c r="H4" i="4"/>
  <c r="H5" i="4"/>
  <c r="H6" i="4"/>
  <c r="H7" i="4"/>
  <c r="H2" i="4"/>
  <c r="J145" i="4"/>
  <c r="J146" i="4"/>
  <c r="J147" i="4"/>
  <c r="J148" i="4"/>
  <c r="J149" i="4"/>
  <c r="J150" i="4"/>
  <c r="J151" i="4"/>
  <c r="J152" i="4"/>
  <c r="J153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C28" i="2" l="1"/>
  <c r="J2" i="1"/>
  <c r="J3" i="1"/>
  <c r="J4" i="1"/>
  <c r="J5" i="1"/>
  <c r="Z5" i="1" s="1"/>
  <c r="AC5" i="1" s="1"/>
  <c r="AI5" i="1" s="1"/>
  <c r="J6" i="1"/>
  <c r="J7" i="1"/>
  <c r="J8" i="1"/>
  <c r="Z8" i="1" s="1"/>
  <c r="AC8" i="1" s="1"/>
  <c r="AI8" i="1" s="1"/>
  <c r="J9" i="1"/>
  <c r="Z9" i="1" s="1"/>
  <c r="AC9" i="1" s="1"/>
  <c r="AI9" i="1" s="1"/>
  <c r="J10" i="1"/>
  <c r="J11" i="1"/>
  <c r="J12" i="1"/>
  <c r="J13" i="1"/>
  <c r="Z13" i="1" s="1"/>
  <c r="AC13" i="1" s="1"/>
  <c r="AI13" i="1" s="1"/>
  <c r="J14" i="1"/>
  <c r="J15" i="1"/>
  <c r="Z15" i="1" s="1"/>
  <c r="AC15" i="1" s="1"/>
  <c r="AI15" i="1" s="1"/>
  <c r="J16" i="1"/>
  <c r="Z16" i="1" s="1"/>
  <c r="AC16" i="1" s="1"/>
  <c r="AI16" i="1" s="1"/>
  <c r="J17" i="1"/>
  <c r="Z17" i="1" s="1"/>
  <c r="AC17" i="1" s="1"/>
  <c r="AI17" i="1" s="1"/>
  <c r="J18" i="1"/>
  <c r="J19" i="1"/>
  <c r="J20" i="1"/>
  <c r="J21" i="1"/>
  <c r="Z21" i="1" s="1"/>
  <c r="AC21" i="1" s="1"/>
  <c r="AI21" i="1" s="1"/>
  <c r="J22" i="1"/>
  <c r="J23" i="1"/>
  <c r="J24" i="1"/>
  <c r="Z24" i="1" s="1"/>
  <c r="AC24" i="1" s="1"/>
  <c r="AI24" i="1" s="1"/>
  <c r="J25" i="1"/>
  <c r="Z25" i="1" s="1"/>
  <c r="AC25" i="1" s="1"/>
  <c r="AI25" i="1" s="1"/>
  <c r="J26" i="1"/>
  <c r="J27" i="1"/>
  <c r="J28" i="1"/>
  <c r="J29" i="1"/>
  <c r="Z29" i="1" s="1"/>
  <c r="AC29" i="1" s="1"/>
  <c r="AI29" i="1" s="1"/>
  <c r="J30" i="1"/>
  <c r="J31" i="1"/>
  <c r="J32" i="1"/>
  <c r="Z32" i="1" s="1"/>
  <c r="AC32" i="1" s="1"/>
  <c r="AI32" i="1" s="1"/>
  <c r="J33" i="1"/>
  <c r="Z33" i="1" s="1"/>
  <c r="AC33" i="1" s="1"/>
  <c r="AI33" i="1" s="1"/>
  <c r="J34" i="1"/>
  <c r="J35" i="1"/>
  <c r="J36" i="1"/>
  <c r="J37" i="1"/>
  <c r="Z37" i="1" s="1"/>
  <c r="AC37" i="1" s="1"/>
  <c r="AI37" i="1" s="1"/>
  <c r="J38" i="1"/>
  <c r="J39" i="1"/>
  <c r="J40" i="1"/>
  <c r="Z40" i="1" s="1"/>
  <c r="AC40" i="1" s="1"/>
  <c r="AI40" i="1" s="1"/>
  <c r="J41" i="1"/>
  <c r="Z41" i="1" s="1"/>
  <c r="AC41" i="1" s="1"/>
  <c r="AI41" i="1" s="1"/>
  <c r="J42" i="1"/>
  <c r="J43" i="1"/>
  <c r="J44" i="1"/>
  <c r="J45" i="1"/>
  <c r="Z45" i="1" s="1"/>
  <c r="AC45" i="1" s="1"/>
  <c r="AI45" i="1" s="1"/>
  <c r="J46" i="1"/>
  <c r="J47" i="1"/>
  <c r="J48" i="1"/>
  <c r="J49" i="1"/>
  <c r="Z49" i="1" s="1"/>
  <c r="AC49" i="1" s="1"/>
  <c r="AI49" i="1" s="1"/>
  <c r="J50" i="1"/>
  <c r="J51" i="1"/>
  <c r="J52" i="1"/>
  <c r="J53" i="1"/>
  <c r="Z53" i="1" s="1"/>
  <c r="AC53" i="1" s="1"/>
  <c r="AI53" i="1" s="1"/>
  <c r="J54" i="1"/>
  <c r="J55" i="1"/>
  <c r="J56" i="1"/>
  <c r="Z56" i="1" s="1"/>
  <c r="AC56" i="1" s="1"/>
  <c r="AI56" i="1" s="1"/>
  <c r="J57" i="1"/>
  <c r="Z57" i="1" s="1"/>
  <c r="AC57" i="1" s="1"/>
  <c r="AI57" i="1" s="1"/>
  <c r="J58" i="1"/>
  <c r="J59" i="1"/>
  <c r="J60" i="1"/>
  <c r="J61" i="1"/>
  <c r="Z61" i="1" s="1"/>
  <c r="AC61" i="1" s="1"/>
  <c r="AI61" i="1" s="1"/>
  <c r="J62" i="1"/>
  <c r="J63" i="1"/>
  <c r="Z63" i="1" s="1"/>
  <c r="AC63" i="1" s="1"/>
  <c r="AI63" i="1" s="1"/>
  <c r="J64" i="1"/>
  <c r="Z64" i="1" s="1"/>
  <c r="AC64" i="1" s="1"/>
  <c r="AI64" i="1" s="1"/>
  <c r="J65" i="1"/>
  <c r="Z65" i="1" s="1"/>
  <c r="AC65" i="1" s="1"/>
  <c r="AI65" i="1" s="1"/>
  <c r="J66" i="1"/>
  <c r="J67" i="1"/>
  <c r="J68" i="1"/>
  <c r="J69" i="1"/>
  <c r="Z69" i="1" s="1"/>
  <c r="AC69" i="1" s="1"/>
  <c r="AI69" i="1" s="1"/>
  <c r="J70" i="1"/>
  <c r="J71" i="1"/>
  <c r="J72" i="1"/>
  <c r="Z72" i="1" s="1"/>
  <c r="AC72" i="1" s="1"/>
  <c r="AI72" i="1" s="1"/>
  <c r="J73" i="1"/>
  <c r="Z73" i="1" s="1"/>
  <c r="AC73" i="1" s="1"/>
  <c r="AI73" i="1" s="1"/>
  <c r="J74" i="1"/>
  <c r="J75" i="1"/>
  <c r="J76" i="1"/>
  <c r="J77" i="1"/>
  <c r="Z77" i="1" s="1"/>
  <c r="AC77" i="1" s="1"/>
  <c r="AI77" i="1" s="1"/>
  <c r="J78" i="1"/>
  <c r="J79" i="1"/>
  <c r="Z79" i="1" s="1"/>
  <c r="AC79" i="1" s="1"/>
  <c r="AI79" i="1" s="1"/>
  <c r="J80" i="1"/>
  <c r="Z80" i="1" s="1"/>
  <c r="AC80" i="1" s="1"/>
  <c r="AI80" i="1" s="1"/>
  <c r="J81" i="1"/>
  <c r="Z81" i="1" s="1"/>
  <c r="AC81" i="1" s="1"/>
  <c r="AI81" i="1" s="1"/>
  <c r="J82" i="1"/>
  <c r="J83" i="1"/>
  <c r="J84" i="1"/>
  <c r="J85" i="1"/>
  <c r="J86" i="1"/>
  <c r="J87" i="1"/>
  <c r="J88" i="1"/>
  <c r="Z88" i="1" s="1"/>
  <c r="AC88" i="1" s="1"/>
  <c r="AI88" i="1" s="1"/>
  <c r="J89" i="1"/>
  <c r="Z89" i="1" s="1"/>
  <c r="AC89" i="1" s="1"/>
  <c r="AI89" i="1" s="1"/>
  <c r="J90" i="1"/>
  <c r="J91" i="1"/>
  <c r="J92" i="1"/>
  <c r="J93" i="1"/>
  <c r="Z93" i="1" s="1"/>
  <c r="AC93" i="1" s="1"/>
  <c r="AI93" i="1" s="1"/>
  <c r="J94" i="1"/>
  <c r="J95" i="1"/>
  <c r="Z95" i="1" s="1"/>
  <c r="AC95" i="1" s="1"/>
  <c r="AI95" i="1" s="1"/>
  <c r="J96" i="1"/>
  <c r="Z96" i="1" s="1"/>
  <c r="AC96" i="1" s="1"/>
  <c r="AI96" i="1" s="1"/>
  <c r="J97" i="1"/>
  <c r="Z97" i="1" s="1"/>
  <c r="AC97" i="1" s="1"/>
  <c r="AI97" i="1" s="1"/>
  <c r="J98" i="1"/>
  <c r="J99" i="1"/>
  <c r="J100" i="1"/>
  <c r="J101" i="1"/>
  <c r="Z101" i="1" s="1"/>
  <c r="AC101" i="1" s="1"/>
  <c r="AI101" i="1" s="1"/>
  <c r="J102" i="1"/>
  <c r="J103" i="1"/>
  <c r="J104" i="1"/>
  <c r="Z104" i="1" s="1"/>
  <c r="AC104" i="1" s="1"/>
  <c r="AI104" i="1" s="1"/>
  <c r="J105" i="1"/>
  <c r="Z105" i="1" s="1"/>
  <c r="AC105" i="1" s="1"/>
  <c r="AI105" i="1" s="1"/>
  <c r="J106" i="1"/>
  <c r="C16" i="2"/>
  <c r="M17" i="2"/>
  <c r="M19" i="2"/>
  <c r="J101" i="4"/>
  <c r="J102" i="4"/>
  <c r="J103" i="4"/>
  <c r="J104" i="4"/>
  <c r="J105" i="4"/>
  <c r="J106" i="4"/>
  <c r="J107" i="4"/>
  <c r="J108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J4" i="4"/>
  <c r="J5" i="4"/>
  <c r="J6" i="4"/>
  <c r="J7" i="4"/>
  <c r="J8" i="4"/>
  <c r="J9" i="4"/>
  <c r="J10" i="4"/>
  <c r="J11" i="4"/>
  <c r="J2" i="4"/>
  <c r="G106" i="1"/>
  <c r="E106" i="1"/>
  <c r="D106" i="1"/>
  <c r="C106" i="1"/>
  <c r="B106" i="1"/>
  <c r="A106" i="1"/>
  <c r="G105" i="1"/>
  <c r="E105" i="1"/>
  <c r="D105" i="1"/>
  <c r="C105" i="1"/>
  <c r="B105" i="1"/>
  <c r="A105" i="1"/>
  <c r="G104" i="1"/>
  <c r="E104" i="1"/>
  <c r="D104" i="1"/>
  <c r="C104" i="1"/>
  <c r="B104" i="1"/>
  <c r="A104" i="1"/>
  <c r="G103" i="1"/>
  <c r="E103" i="1"/>
  <c r="D103" i="1"/>
  <c r="C103" i="1"/>
  <c r="B103" i="1"/>
  <c r="A103" i="1"/>
  <c r="G102" i="1"/>
  <c r="E102" i="1"/>
  <c r="D102" i="1"/>
  <c r="C102" i="1"/>
  <c r="B102" i="1"/>
  <c r="A102" i="1"/>
  <c r="G101" i="1"/>
  <c r="E101" i="1"/>
  <c r="D101" i="1"/>
  <c r="C101" i="1"/>
  <c r="B101" i="1"/>
  <c r="A101" i="1"/>
  <c r="G100" i="1"/>
  <c r="E100" i="1"/>
  <c r="D100" i="1"/>
  <c r="C100" i="1"/>
  <c r="B100" i="1"/>
  <c r="A100" i="1"/>
  <c r="G99" i="1"/>
  <c r="E99" i="1"/>
  <c r="D99" i="1"/>
  <c r="C99" i="1"/>
  <c r="B99" i="1"/>
  <c r="A99" i="1"/>
  <c r="G98" i="1"/>
  <c r="E98" i="1"/>
  <c r="D98" i="1"/>
  <c r="C98" i="1"/>
  <c r="B98" i="1"/>
  <c r="A98" i="1"/>
  <c r="G97" i="1"/>
  <c r="E97" i="1"/>
  <c r="D97" i="1"/>
  <c r="C97" i="1"/>
  <c r="B97" i="1"/>
  <c r="A97" i="1"/>
  <c r="G96" i="1"/>
  <c r="E96" i="1"/>
  <c r="D96" i="1"/>
  <c r="C96" i="1"/>
  <c r="B96" i="1"/>
  <c r="A96" i="1"/>
  <c r="G95" i="1"/>
  <c r="E95" i="1"/>
  <c r="D95" i="1"/>
  <c r="C95" i="1"/>
  <c r="B95" i="1"/>
  <c r="A95" i="1"/>
  <c r="G94" i="1"/>
  <c r="E94" i="1"/>
  <c r="D94" i="1"/>
  <c r="C94" i="1"/>
  <c r="B94" i="1"/>
  <c r="A94" i="1"/>
  <c r="G93" i="1"/>
  <c r="E93" i="1"/>
  <c r="D93" i="1"/>
  <c r="C93" i="1"/>
  <c r="B93" i="1"/>
  <c r="A93" i="1"/>
  <c r="G92" i="1"/>
  <c r="E92" i="1"/>
  <c r="D92" i="1"/>
  <c r="C92" i="1"/>
  <c r="B92" i="1"/>
  <c r="A92" i="1"/>
  <c r="G91" i="1"/>
  <c r="E91" i="1"/>
  <c r="D91" i="1"/>
  <c r="C91" i="1"/>
  <c r="B91" i="1"/>
  <c r="A91" i="1"/>
  <c r="G90" i="1"/>
  <c r="E90" i="1"/>
  <c r="D90" i="1"/>
  <c r="C90" i="1"/>
  <c r="B90" i="1"/>
  <c r="A90" i="1"/>
  <c r="G89" i="1"/>
  <c r="E89" i="1"/>
  <c r="D89" i="1"/>
  <c r="C89" i="1"/>
  <c r="B89" i="1"/>
  <c r="A89" i="1"/>
  <c r="G88" i="1"/>
  <c r="E88" i="1"/>
  <c r="D88" i="1"/>
  <c r="C88" i="1"/>
  <c r="B88" i="1"/>
  <c r="A88" i="1"/>
  <c r="G87" i="1"/>
  <c r="E87" i="1"/>
  <c r="D87" i="1"/>
  <c r="C87" i="1"/>
  <c r="B87" i="1"/>
  <c r="A87" i="1"/>
  <c r="G86" i="1"/>
  <c r="E86" i="1"/>
  <c r="D86" i="1"/>
  <c r="C86" i="1"/>
  <c r="B86" i="1"/>
  <c r="A86" i="1"/>
  <c r="G85" i="1"/>
  <c r="E85" i="1"/>
  <c r="D85" i="1"/>
  <c r="C85" i="1"/>
  <c r="B85" i="1"/>
  <c r="A85" i="1"/>
  <c r="G84" i="1"/>
  <c r="E84" i="1"/>
  <c r="D84" i="1"/>
  <c r="C84" i="1"/>
  <c r="B84" i="1"/>
  <c r="A84" i="1"/>
  <c r="G83" i="1"/>
  <c r="E83" i="1"/>
  <c r="D83" i="1"/>
  <c r="C83" i="1"/>
  <c r="B83" i="1"/>
  <c r="A83" i="1"/>
  <c r="G82" i="1"/>
  <c r="E82" i="1"/>
  <c r="D82" i="1"/>
  <c r="C82" i="1"/>
  <c r="B82" i="1"/>
  <c r="A82" i="1"/>
  <c r="G81" i="1"/>
  <c r="E81" i="1"/>
  <c r="D81" i="1"/>
  <c r="C81" i="1"/>
  <c r="B81" i="1"/>
  <c r="A81" i="1"/>
  <c r="G80" i="1"/>
  <c r="E80" i="1"/>
  <c r="D80" i="1"/>
  <c r="C80" i="1"/>
  <c r="B80" i="1"/>
  <c r="A80" i="1"/>
  <c r="G79" i="1"/>
  <c r="E79" i="1"/>
  <c r="D79" i="1"/>
  <c r="C79" i="1"/>
  <c r="B79" i="1"/>
  <c r="A79" i="1"/>
  <c r="G78" i="1"/>
  <c r="E78" i="1"/>
  <c r="D78" i="1"/>
  <c r="C78" i="1"/>
  <c r="B78" i="1"/>
  <c r="A78" i="1"/>
  <c r="G77" i="1"/>
  <c r="E77" i="1"/>
  <c r="D77" i="1"/>
  <c r="C77" i="1"/>
  <c r="B77" i="1"/>
  <c r="A77" i="1"/>
  <c r="G76" i="1"/>
  <c r="E76" i="1"/>
  <c r="D76" i="1"/>
  <c r="C76" i="1"/>
  <c r="B76" i="1"/>
  <c r="A76" i="1"/>
  <c r="G75" i="1"/>
  <c r="E75" i="1"/>
  <c r="D75" i="1"/>
  <c r="C75" i="1"/>
  <c r="B75" i="1"/>
  <c r="A75" i="1"/>
  <c r="G74" i="1"/>
  <c r="E74" i="1"/>
  <c r="D74" i="1"/>
  <c r="C74" i="1"/>
  <c r="B74" i="1"/>
  <c r="A74" i="1"/>
  <c r="G73" i="1"/>
  <c r="E73" i="1"/>
  <c r="D73" i="1"/>
  <c r="C73" i="1"/>
  <c r="B73" i="1"/>
  <c r="A73" i="1"/>
  <c r="G72" i="1"/>
  <c r="E72" i="1"/>
  <c r="D72" i="1"/>
  <c r="C72" i="1"/>
  <c r="B72" i="1"/>
  <c r="A72" i="1"/>
  <c r="G71" i="1"/>
  <c r="E71" i="1"/>
  <c r="D71" i="1"/>
  <c r="C71" i="1"/>
  <c r="B71" i="1"/>
  <c r="A71" i="1"/>
  <c r="G70" i="1"/>
  <c r="E70" i="1"/>
  <c r="D70" i="1"/>
  <c r="C70" i="1"/>
  <c r="B70" i="1"/>
  <c r="A70" i="1"/>
  <c r="G69" i="1"/>
  <c r="E69" i="1"/>
  <c r="D69" i="1"/>
  <c r="C69" i="1"/>
  <c r="B69" i="1"/>
  <c r="A69" i="1"/>
  <c r="G68" i="1"/>
  <c r="E68" i="1"/>
  <c r="D68" i="1"/>
  <c r="C68" i="1"/>
  <c r="B68" i="1"/>
  <c r="A68" i="1"/>
  <c r="G67" i="1"/>
  <c r="E67" i="1"/>
  <c r="D67" i="1"/>
  <c r="C67" i="1"/>
  <c r="B67" i="1"/>
  <c r="A67" i="1"/>
  <c r="G66" i="1"/>
  <c r="E66" i="1"/>
  <c r="D66" i="1"/>
  <c r="C66" i="1"/>
  <c r="B66" i="1"/>
  <c r="A66" i="1"/>
  <c r="G65" i="1"/>
  <c r="E65" i="1"/>
  <c r="D65" i="1"/>
  <c r="C65" i="1"/>
  <c r="B65" i="1"/>
  <c r="A65" i="1"/>
  <c r="G64" i="1"/>
  <c r="E64" i="1"/>
  <c r="D64" i="1"/>
  <c r="C64" i="1"/>
  <c r="B64" i="1"/>
  <c r="A64" i="1"/>
  <c r="G63" i="1"/>
  <c r="E63" i="1"/>
  <c r="D63" i="1"/>
  <c r="C63" i="1"/>
  <c r="B63" i="1"/>
  <c r="A63" i="1"/>
  <c r="G62" i="1"/>
  <c r="E62" i="1"/>
  <c r="D62" i="1"/>
  <c r="C62" i="1"/>
  <c r="B62" i="1"/>
  <c r="A62" i="1"/>
  <c r="G61" i="1"/>
  <c r="E61" i="1"/>
  <c r="D61" i="1"/>
  <c r="C61" i="1"/>
  <c r="B61" i="1"/>
  <c r="A61" i="1"/>
  <c r="G60" i="1"/>
  <c r="E60" i="1"/>
  <c r="D60" i="1"/>
  <c r="C60" i="1"/>
  <c r="B60" i="1"/>
  <c r="A60" i="1"/>
  <c r="G59" i="1"/>
  <c r="E59" i="1"/>
  <c r="D59" i="1"/>
  <c r="C59" i="1"/>
  <c r="B59" i="1"/>
  <c r="A59" i="1"/>
  <c r="G58" i="1"/>
  <c r="E58" i="1"/>
  <c r="D58" i="1"/>
  <c r="C58" i="1"/>
  <c r="B58" i="1"/>
  <c r="A58" i="1"/>
  <c r="G57" i="1"/>
  <c r="E57" i="1"/>
  <c r="D57" i="1"/>
  <c r="C57" i="1"/>
  <c r="B57" i="1"/>
  <c r="A57" i="1"/>
  <c r="G56" i="1"/>
  <c r="E56" i="1"/>
  <c r="D56" i="1"/>
  <c r="C56" i="1"/>
  <c r="B56" i="1"/>
  <c r="A56" i="1"/>
  <c r="G55" i="1"/>
  <c r="E55" i="1"/>
  <c r="D55" i="1"/>
  <c r="C55" i="1"/>
  <c r="B55" i="1"/>
  <c r="A55" i="1"/>
  <c r="G54" i="1"/>
  <c r="E54" i="1"/>
  <c r="D54" i="1"/>
  <c r="C54" i="1"/>
  <c r="B54" i="1"/>
  <c r="A54" i="1"/>
  <c r="G53" i="1"/>
  <c r="E53" i="1"/>
  <c r="D53" i="1"/>
  <c r="C53" i="1"/>
  <c r="B53" i="1"/>
  <c r="A53" i="1"/>
  <c r="G52" i="1"/>
  <c r="E52" i="1"/>
  <c r="D52" i="1"/>
  <c r="C52" i="1"/>
  <c r="B52" i="1"/>
  <c r="A52" i="1"/>
  <c r="G51" i="1"/>
  <c r="E51" i="1"/>
  <c r="D51" i="1"/>
  <c r="C51" i="1"/>
  <c r="B51" i="1"/>
  <c r="A51" i="1"/>
  <c r="G50" i="1"/>
  <c r="E50" i="1"/>
  <c r="D50" i="1"/>
  <c r="C50" i="1"/>
  <c r="B50" i="1"/>
  <c r="A50" i="1"/>
  <c r="G49" i="1"/>
  <c r="E49" i="1"/>
  <c r="D49" i="1"/>
  <c r="C49" i="1"/>
  <c r="B49" i="1"/>
  <c r="A49" i="1"/>
  <c r="G48" i="1"/>
  <c r="E48" i="1"/>
  <c r="D48" i="1"/>
  <c r="C48" i="1"/>
  <c r="B48" i="1"/>
  <c r="A48" i="1"/>
  <c r="G47" i="1"/>
  <c r="E47" i="1"/>
  <c r="D47" i="1"/>
  <c r="C47" i="1"/>
  <c r="A47" i="1"/>
  <c r="G46" i="1"/>
  <c r="E46" i="1"/>
  <c r="D46" i="1"/>
  <c r="C46" i="1"/>
  <c r="B46" i="1"/>
  <c r="A46" i="1"/>
  <c r="G45" i="1"/>
  <c r="E45" i="1"/>
  <c r="D45" i="1"/>
  <c r="C45" i="1"/>
  <c r="B45" i="1"/>
  <c r="A45" i="1"/>
  <c r="G44" i="1"/>
  <c r="E44" i="1"/>
  <c r="D44" i="1"/>
  <c r="C44" i="1"/>
  <c r="B44" i="1"/>
  <c r="A44" i="1"/>
  <c r="G43" i="1"/>
  <c r="E43" i="1"/>
  <c r="D43" i="1"/>
  <c r="C43" i="1"/>
  <c r="B43" i="1"/>
  <c r="A43" i="1"/>
  <c r="G42" i="1"/>
  <c r="E42" i="1"/>
  <c r="D42" i="1"/>
  <c r="C42" i="1"/>
  <c r="B42" i="1"/>
  <c r="A42" i="1"/>
  <c r="G41" i="1"/>
  <c r="E41" i="1"/>
  <c r="D41" i="1"/>
  <c r="C41" i="1"/>
  <c r="B41" i="1"/>
  <c r="A41" i="1"/>
  <c r="G40" i="1"/>
  <c r="E40" i="1"/>
  <c r="D40" i="1"/>
  <c r="C40" i="1"/>
  <c r="B40" i="1"/>
  <c r="A40" i="1"/>
  <c r="G39" i="1"/>
  <c r="E39" i="1"/>
  <c r="D39" i="1"/>
  <c r="C39" i="1"/>
  <c r="B39" i="1"/>
  <c r="A39" i="1"/>
  <c r="G38" i="1"/>
  <c r="E38" i="1"/>
  <c r="D38" i="1"/>
  <c r="C38" i="1"/>
  <c r="B38" i="1"/>
  <c r="A38" i="1"/>
  <c r="G37" i="1"/>
  <c r="E37" i="1"/>
  <c r="D37" i="1"/>
  <c r="C37" i="1"/>
  <c r="B37" i="1"/>
  <c r="A37" i="1"/>
  <c r="G36" i="1"/>
  <c r="E36" i="1"/>
  <c r="D36" i="1"/>
  <c r="C36" i="1"/>
  <c r="B36" i="1"/>
  <c r="A36" i="1"/>
  <c r="G35" i="1"/>
  <c r="E35" i="1"/>
  <c r="D35" i="1"/>
  <c r="C35" i="1"/>
  <c r="B35" i="1"/>
  <c r="A35" i="1"/>
  <c r="G34" i="1"/>
  <c r="E34" i="1"/>
  <c r="D34" i="1"/>
  <c r="C34" i="1"/>
  <c r="B34" i="1"/>
  <c r="A34" i="1"/>
  <c r="G33" i="1"/>
  <c r="E33" i="1"/>
  <c r="D33" i="1"/>
  <c r="C33" i="1"/>
  <c r="B33" i="1"/>
  <c r="A33" i="1"/>
  <c r="G32" i="1"/>
  <c r="E32" i="1"/>
  <c r="D32" i="1"/>
  <c r="C32" i="1"/>
  <c r="B32" i="1"/>
  <c r="A32" i="1"/>
  <c r="G31" i="1"/>
  <c r="E31" i="1"/>
  <c r="D31" i="1"/>
  <c r="C31" i="1"/>
  <c r="B31" i="1"/>
  <c r="A31" i="1"/>
  <c r="G30" i="1"/>
  <c r="E30" i="1"/>
  <c r="D30" i="1"/>
  <c r="C30" i="1"/>
  <c r="B30" i="1"/>
  <c r="A30" i="1"/>
  <c r="G29" i="1"/>
  <c r="E29" i="1"/>
  <c r="D29" i="1"/>
  <c r="C29" i="1"/>
  <c r="B29" i="1"/>
  <c r="A29" i="1"/>
  <c r="G28" i="1"/>
  <c r="E28" i="1"/>
  <c r="D28" i="1"/>
  <c r="C28" i="1"/>
  <c r="B28" i="1"/>
  <c r="A28" i="1"/>
  <c r="G27" i="1"/>
  <c r="E27" i="1"/>
  <c r="D27" i="1"/>
  <c r="C27" i="1"/>
  <c r="B27" i="1"/>
  <c r="A27" i="1"/>
  <c r="G26" i="1"/>
  <c r="E26" i="1"/>
  <c r="D26" i="1"/>
  <c r="C26" i="1"/>
  <c r="B26" i="1"/>
  <c r="A26" i="1"/>
  <c r="G25" i="1"/>
  <c r="E25" i="1"/>
  <c r="D25" i="1"/>
  <c r="C25" i="1"/>
  <c r="B25" i="1"/>
  <c r="A25" i="1"/>
  <c r="G24" i="1"/>
  <c r="E24" i="1"/>
  <c r="D24" i="1"/>
  <c r="C24" i="1"/>
  <c r="B24" i="1"/>
  <c r="A24" i="1"/>
  <c r="B2" i="1"/>
  <c r="C2" i="1"/>
  <c r="D2" i="1"/>
  <c r="E2" i="1"/>
  <c r="G2" i="1"/>
  <c r="B3" i="1"/>
  <c r="C3" i="1"/>
  <c r="D3" i="1"/>
  <c r="E3" i="1"/>
  <c r="G3" i="1"/>
  <c r="B4" i="1"/>
  <c r="C4" i="1"/>
  <c r="D4" i="1"/>
  <c r="E4" i="1"/>
  <c r="G4" i="1"/>
  <c r="B5" i="1"/>
  <c r="C5" i="1"/>
  <c r="D5" i="1"/>
  <c r="E5" i="1"/>
  <c r="G5" i="1"/>
  <c r="B6" i="1"/>
  <c r="C6" i="1"/>
  <c r="D6" i="1"/>
  <c r="E6" i="1"/>
  <c r="G6" i="1"/>
  <c r="B7" i="1"/>
  <c r="C7" i="1"/>
  <c r="D7" i="1"/>
  <c r="E7" i="1"/>
  <c r="G7" i="1"/>
  <c r="B8" i="1"/>
  <c r="C8" i="1"/>
  <c r="D8" i="1"/>
  <c r="E8" i="1"/>
  <c r="G8" i="1"/>
  <c r="B9" i="1"/>
  <c r="C9" i="1"/>
  <c r="D9" i="1"/>
  <c r="E9" i="1"/>
  <c r="G9" i="1"/>
  <c r="B10" i="1"/>
  <c r="C10" i="1"/>
  <c r="D10" i="1"/>
  <c r="E10" i="1"/>
  <c r="G10" i="1"/>
  <c r="B11" i="1"/>
  <c r="C11" i="1"/>
  <c r="D11" i="1"/>
  <c r="E11" i="1"/>
  <c r="G11" i="1"/>
  <c r="B12" i="1"/>
  <c r="C12" i="1"/>
  <c r="D12" i="1"/>
  <c r="E12" i="1"/>
  <c r="G12" i="1"/>
  <c r="B13" i="1"/>
  <c r="C13" i="1"/>
  <c r="D13" i="1"/>
  <c r="E13" i="1"/>
  <c r="G13" i="1"/>
  <c r="B14" i="1"/>
  <c r="C14" i="1"/>
  <c r="D14" i="1"/>
  <c r="E14" i="1"/>
  <c r="G14" i="1"/>
  <c r="B15" i="1"/>
  <c r="C15" i="1"/>
  <c r="D15" i="1"/>
  <c r="E15" i="1"/>
  <c r="G15" i="1"/>
  <c r="B16" i="1"/>
  <c r="C16" i="1"/>
  <c r="D16" i="1"/>
  <c r="E16" i="1"/>
  <c r="G16" i="1"/>
  <c r="B17" i="1"/>
  <c r="C17" i="1"/>
  <c r="D17" i="1"/>
  <c r="E17" i="1"/>
  <c r="G17" i="1"/>
  <c r="B18" i="1"/>
  <c r="C18" i="1"/>
  <c r="D18" i="1"/>
  <c r="E18" i="1"/>
  <c r="G18" i="1"/>
  <c r="B19" i="1"/>
  <c r="C19" i="1"/>
  <c r="D19" i="1"/>
  <c r="E19" i="1"/>
  <c r="G19" i="1"/>
  <c r="B20" i="1"/>
  <c r="C20" i="1"/>
  <c r="D20" i="1"/>
  <c r="E20" i="1"/>
  <c r="G20" i="1"/>
  <c r="B21" i="1"/>
  <c r="C21" i="1"/>
  <c r="D21" i="1"/>
  <c r="E21" i="1"/>
  <c r="G21" i="1"/>
  <c r="B22" i="1"/>
  <c r="C22" i="1"/>
  <c r="D22" i="1"/>
  <c r="E22" i="1"/>
  <c r="G22" i="1"/>
  <c r="B23" i="1"/>
  <c r="C23" i="1"/>
  <c r="D23" i="1"/>
  <c r="E23" i="1"/>
  <c r="G23" i="1"/>
  <c r="A23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O22" i="1" l="1"/>
  <c r="Z22" i="1"/>
  <c r="AC22" i="1" s="1"/>
  <c r="AI22" i="1" s="1"/>
  <c r="AO85" i="1"/>
  <c r="Z85" i="1"/>
  <c r="AC85" i="1" s="1"/>
  <c r="AI85" i="1" s="1"/>
  <c r="AE95" i="1"/>
  <c r="AJ95" i="1" s="1"/>
  <c r="AO83" i="1"/>
  <c r="Y83" i="1" s="1"/>
  <c r="Z83" i="1"/>
  <c r="AC83" i="1" s="1"/>
  <c r="AI83" i="1" s="1"/>
  <c r="AO71" i="1"/>
  <c r="Y71" i="1" s="1"/>
  <c r="AP71" i="1" s="1"/>
  <c r="Z71" i="1"/>
  <c r="AC71" i="1" s="1"/>
  <c r="AI71" i="1" s="1"/>
  <c r="AO59" i="1"/>
  <c r="Y59" i="1" s="1"/>
  <c r="AP59" i="1" s="1"/>
  <c r="Z59" i="1"/>
  <c r="AC59" i="1" s="1"/>
  <c r="AI59" i="1" s="1"/>
  <c r="AO47" i="1"/>
  <c r="Y47" i="1" s="1"/>
  <c r="Z47" i="1"/>
  <c r="AC47" i="1" s="1"/>
  <c r="AI47" i="1" s="1"/>
  <c r="AO35" i="1"/>
  <c r="Y35" i="1" s="1"/>
  <c r="Z35" i="1"/>
  <c r="AC35" i="1" s="1"/>
  <c r="AI35" i="1" s="1"/>
  <c r="AO23" i="1"/>
  <c r="Y23" i="1" s="1"/>
  <c r="AP23" i="1" s="1"/>
  <c r="Z23" i="1"/>
  <c r="AC23" i="1" s="1"/>
  <c r="AI23" i="1" s="1"/>
  <c r="AO11" i="1"/>
  <c r="Y11" i="1" s="1"/>
  <c r="AP11" i="1" s="1"/>
  <c r="Z11" i="1"/>
  <c r="AC11" i="1" s="1"/>
  <c r="AI11" i="1" s="1"/>
  <c r="AO10" i="1"/>
  <c r="Y10" i="1" s="1"/>
  <c r="AP10" i="1" s="1"/>
  <c r="Z10" i="1"/>
  <c r="AC10" i="1" s="1"/>
  <c r="AI10" i="1" s="1"/>
  <c r="AE105" i="1"/>
  <c r="AJ105" i="1" s="1"/>
  <c r="AE33" i="1"/>
  <c r="AJ33" i="1" s="1"/>
  <c r="AE21" i="1"/>
  <c r="AJ21" i="1" s="1"/>
  <c r="AE9" i="1"/>
  <c r="AJ9" i="1" s="1"/>
  <c r="AE104" i="1"/>
  <c r="AJ104" i="1" s="1"/>
  <c r="AO92" i="1"/>
  <c r="Y92" i="1" s="1"/>
  <c r="AP92" i="1" s="1"/>
  <c r="Z92" i="1"/>
  <c r="AC92" i="1" s="1"/>
  <c r="AI92" i="1" s="1"/>
  <c r="AE80" i="1"/>
  <c r="AJ80" i="1" s="1"/>
  <c r="AO68" i="1"/>
  <c r="Z68" i="1"/>
  <c r="AC68" i="1" s="1"/>
  <c r="AI68" i="1" s="1"/>
  <c r="AE56" i="1"/>
  <c r="AJ56" i="1" s="1"/>
  <c r="AO44" i="1"/>
  <c r="Y44" i="1" s="1"/>
  <c r="AP44" i="1" s="1"/>
  <c r="Z44" i="1"/>
  <c r="AC44" i="1" s="1"/>
  <c r="AI44" i="1" s="1"/>
  <c r="AE32" i="1"/>
  <c r="AJ32" i="1" s="1"/>
  <c r="AO20" i="1"/>
  <c r="Y20" i="1" s="1"/>
  <c r="AP20" i="1" s="1"/>
  <c r="Z20" i="1"/>
  <c r="AC20" i="1" s="1"/>
  <c r="AI20" i="1" s="1"/>
  <c r="AE8" i="1"/>
  <c r="AJ8" i="1" s="1"/>
  <c r="AO94" i="1"/>
  <c r="Y94" i="1" s="1"/>
  <c r="AP94" i="1" s="1"/>
  <c r="Z94" i="1"/>
  <c r="AC94" i="1" s="1"/>
  <c r="AI94" i="1" s="1"/>
  <c r="AO103" i="1"/>
  <c r="Z103" i="1"/>
  <c r="AC103" i="1" s="1"/>
  <c r="AI103" i="1" s="1"/>
  <c r="AO91" i="1"/>
  <c r="Y91" i="1" s="1"/>
  <c r="Z91" i="1"/>
  <c r="AC91" i="1" s="1"/>
  <c r="AI91" i="1" s="1"/>
  <c r="AE79" i="1"/>
  <c r="AJ79" i="1" s="1"/>
  <c r="AO67" i="1"/>
  <c r="Y67" i="1" s="1"/>
  <c r="AP67" i="1" s="1"/>
  <c r="Z67" i="1"/>
  <c r="AC67" i="1" s="1"/>
  <c r="AI67" i="1" s="1"/>
  <c r="AO55" i="1"/>
  <c r="Y55" i="1" s="1"/>
  <c r="AP55" i="1" s="1"/>
  <c r="Z55" i="1"/>
  <c r="AC55" i="1" s="1"/>
  <c r="AI55" i="1" s="1"/>
  <c r="AO43" i="1"/>
  <c r="Y43" i="1" s="1"/>
  <c r="AP43" i="1" s="1"/>
  <c r="Z43" i="1"/>
  <c r="AC43" i="1" s="1"/>
  <c r="AI43" i="1" s="1"/>
  <c r="AO31" i="1"/>
  <c r="Z31" i="1"/>
  <c r="AC31" i="1" s="1"/>
  <c r="AI31" i="1" s="1"/>
  <c r="AO19" i="1"/>
  <c r="Y19" i="1" s="1"/>
  <c r="AP19" i="1" s="1"/>
  <c r="Z19" i="1"/>
  <c r="AC19" i="1" s="1"/>
  <c r="AI19" i="1" s="1"/>
  <c r="AO7" i="1"/>
  <c r="Y7" i="1" s="1"/>
  <c r="AP7" i="1" s="1"/>
  <c r="Z7" i="1"/>
  <c r="AC7" i="1" s="1"/>
  <c r="AI7" i="1" s="1"/>
  <c r="AO46" i="1"/>
  <c r="Y46" i="1" s="1"/>
  <c r="AP46" i="1" s="1"/>
  <c r="Z46" i="1"/>
  <c r="AC46" i="1" s="1"/>
  <c r="AI46" i="1" s="1"/>
  <c r="AE45" i="1"/>
  <c r="AJ45" i="1" s="1"/>
  <c r="AO102" i="1"/>
  <c r="Z102" i="1"/>
  <c r="AC102" i="1" s="1"/>
  <c r="AI102" i="1" s="1"/>
  <c r="AO90" i="1"/>
  <c r="Y90" i="1" s="1"/>
  <c r="AP90" i="1" s="1"/>
  <c r="Z90" i="1"/>
  <c r="AC90" i="1" s="1"/>
  <c r="AI90" i="1" s="1"/>
  <c r="AO78" i="1"/>
  <c r="Y78" i="1" s="1"/>
  <c r="AP78" i="1" s="1"/>
  <c r="Z78" i="1"/>
  <c r="AC78" i="1" s="1"/>
  <c r="AI78" i="1" s="1"/>
  <c r="AO66" i="1"/>
  <c r="Y66" i="1" s="1"/>
  <c r="AP66" i="1" s="1"/>
  <c r="Z66" i="1"/>
  <c r="AC66" i="1" s="1"/>
  <c r="AI66" i="1" s="1"/>
  <c r="AO54" i="1"/>
  <c r="Y54" i="1" s="1"/>
  <c r="AP54" i="1" s="1"/>
  <c r="Z54" i="1"/>
  <c r="AC54" i="1" s="1"/>
  <c r="AI54" i="1" s="1"/>
  <c r="AO42" i="1"/>
  <c r="Y42" i="1" s="1"/>
  <c r="AP42" i="1" s="1"/>
  <c r="Z42" i="1"/>
  <c r="AC42" i="1" s="1"/>
  <c r="AI42" i="1" s="1"/>
  <c r="AO30" i="1"/>
  <c r="Z30" i="1"/>
  <c r="AC30" i="1" s="1"/>
  <c r="AI30" i="1" s="1"/>
  <c r="AO18" i="1"/>
  <c r="Y18" i="1" s="1"/>
  <c r="AP18" i="1" s="1"/>
  <c r="Z18" i="1"/>
  <c r="AC18" i="1" s="1"/>
  <c r="AI18" i="1" s="1"/>
  <c r="AO6" i="1"/>
  <c r="Y6" i="1" s="1"/>
  <c r="AP6" i="1" s="1"/>
  <c r="Z6" i="1"/>
  <c r="AC6" i="1" s="1"/>
  <c r="AI6" i="1" s="1"/>
  <c r="AO34" i="1"/>
  <c r="Y34" i="1" s="1"/>
  <c r="AP34" i="1" s="1"/>
  <c r="Z34" i="1"/>
  <c r="AC34" i="1" s="1"/>
  <c r="AI34" i="1" s="1"/>
  <c r="AE57" i="1"/>
  <c r="AJ57" i="1" s="1"/>
  <c r="AE101" i="1"/>
  <c r="AJ101" i="1" s="1"/>
  <c r="AE89" i="1"/>
  <c r="AJ89" i="1" s="1"/>
  <c r="AE77" i="1"/>
  <c r="AJ77" i="1" s="1"/>
  <c r="AE65" i="1"/>
  <c r="AJ65" i="1" s="1"/>
  <c r="AE53" i="1"/>
  <c r="AJ53" i="1" s="1"/>
  <c r="AE41" i="1"/>
  <c r="AJ41" i="1" s="1"/>
  <c r="AE29" i="1"/>
  <c r="AJ29" i="1" s="1"/>
  <c r="AE17" i="1"/>
  <c r="AJ17" i="1" s="1"/>
  <c r="AE5" i="1"/>
  <c r="AJ5" i="1" s="1"/>
  <c r="AO106" i="1"/>
  <c r="Y106" i="1" s="1"/>
  <c r="AP106" i="1" s="1"/>
  <c r="Z106" i="1"/>
  <c r="AC106" i="1" s="1"/>
  <c r="AI106" i="1" s="1"/>
  <c r="AE93" i="1"/>
  <c r="AJ93" i="1" s="1"/>
  <c r="AO100" i="1"/>
  <c r="Y100" i="1" s="1"/>
  <c r="AP100" i="1" s="1"/>
  <c r="Z100" i="1"/>
  <c r="AC100" i="1" s="1"/>
  <c r="AI100" i="1" s="1"/>
  <c r="AE88" i="1"/>
  <c r="AJ88" i="1" s="1"/>
  <c r="AO76" i="1"/>
  <c r="Z76" i="1"/>
  <c r="AC76" i="1" s="1"/>
  <c r="AI76" i="1" s="1"/>
  <c r="AE64" i="1"/>
  <c r="AJ64" i="1" s="1"/>
  <c r="AO52" i="1"/>
  <c r="Y52" i="1" s="1"/>
  <c r="AP52" i="1" s="1"/>
  <c r="Z52" i="1"/>
  <c r="AC52" i="1" s="1"/>
  <c r="AI52" i="1" s="1"/>
  <c r="AE40" i="1"/>
  <c r="AJ40" i="1" s="1"/>
  <c r="AO28" i="1"/>
  <c r="Y28" i="1" s="1"/>
  <c r="AP28" i="1" s="1"/>
  <c r="Z28" i="1"/>
  <c r="AC28" i="1" s="1"/>
  <c r="AI28" i="1" s="1"/>
  <c r="AE16" i="1"/>
  <c r="AJ16" i="1" s="1"/>
  <c r="AO4" i="1"/>
  <c r="Y4" i="1" s="1"/>
  <c r="AP4" i="1" s="1"/>
  <c r="Z4" i="1"/>
  <c r="AC4" i="1" s="1"/>
  <c r="AI4" i="1" s="1"/>
  <c r="AO82" i="1"/>
  <c r="Y82" i="1" s="1"/>
  <c r="AP82" i="1" s="1"/>
  <c r="Z82" i="1"/>
  <c r="AC82" i="1" s="1"/>
  <c r="AI82" i="1" s="1"/>
  <c r="AE81" i="1"/>
  <c r="AJ81" i="1" s="1"/>
  <c r="AO99" i="1"/>
  <c r="Y99" i="1" s="1"/>
  <c r="AP99" i="1" s="1"/>
  <c r="Z99" i="1"/>
  <c r="AC99" i="1" s="1"/>
  <c r="AI99" i="1" s="1"/>
  <c r="AO87" i="1"/>
  <c r="Y87" i="1" s="1"/>
  <c r="AP87" i="1" s="1"/>
  <c r="Z87" i="1"/>
  <c r="AC87" i="1" s="1"/>
  <c r="AI87" i="1" s="1"/>
  <c r="AO75" i="1"/>
  <c r="Z75" i="1"/>
  <c r="AC75" i="1" s="1"/>
  <c r="AI75" i="1" s="1"/>
  <c r="AE63" i="1"/>
  <c r="AJ63" i="1" s="1"/>
  <c r="AO51" i="1"/>
  <c r="Y51" i="1" s="1"/>
  <c r="AP51" i="1" s="1"/>
  <c r="Z51" i="1"/>
  <c r="AC51" i="1" s="1"/>
  <c r="AI51" i="1" s="1"/>
  <c r="AO39" i="1"/>
  <c r="Y39" i="1" s="1"/>
  <c r="AP39" i="1" s="1"/>
  <c r="Z39" i="1"/>
  <c r="AC39" i="1" s="1"/>
  <c r="AI39" i="1" s="1"/>
  <c r="AO27" i="1"/>
  <c r="Y27" i="1" s="1"/>
  <c r="AP27" i="1" s="1"/>
  <c r="Z27" i="1"/>
  <c r="AC27" i="1" s="1"/>
  <c r="AI27" i="1" s="1"/>
  <c r="AE15" i="1"/>
  <c r="AJ15" i="1" s="1"/>
  <c r="AO3" i="1"/>
  <c r="Y3" i="1" s="1"/>
  <c r="AP3" i="1" s="1"/>
  <c r="Z3" i="1"/>
  <c r="AC3" i="1" s="1"/>
  <c r="AI3" i="1" s="1"/>
  <c r="AO70" i="1"/>
  <c r="Y70" i="1" s="1"/>
  <c r="AP70" i="1" s="1"/>
  <c r="Z70" i="1"/>
  <c r="AC70" i="1" s="1"/>
  <c r="AI70" i="1" s="1"/>
  <c r="AE69" i="1"/>
  <c r="AJ69" i="1" s="1"/>
  <c r="AO98" i="1"/>
  <c r="Y98" i="1" s="1"/>
  <c r="AP98" i="1" s="1"/>
  <c r="Z98" i="1"/>
  <c r="AC98" i="1" s="1"/>
  <c r="AI98" i="1" s="1"/>
  <c r="AO86" i="1"/>
  <c r="Y86" i="1" s="1"/>
  <c r="AP86" i="1" s="1"/>
  <c r="Z86" i="1"/>
  <c r="AC86" i="1" s="1"/>
  <c r="AI86" i="1" s="1"/>
  <c r="AO74" i="1"/>
  <c r="Y74" i="1" s="1"/>
  <c r="AP74" i="1" s="1"/>
  <c r="Z74" i="1"/>
  <c r="AC74" i="1" s="1"/>
  <c r="AI74" i="1" s="1"/>
  <c r="AO62" i="1"/>
  <c r="Y62" i="1" s="1"/>
  <c r="AP62" i="1" s="1"/>
  <c r="Z62" i="1"/>
  <c r="AC62" i="1" s="1"/>
  <c r="AI62" i="1" s="1"/>
  <c r="AO50" i="1"/>
  <c r="Y50" i="1" s="1"/>
  <c r="AP50" i="1" s="1"/>
  <c r="Z50" i="1"/>
  <c r="AC50" i="1" s="1"/>
  <c r="AI50" i="1" s="1"/>
  <c r="AO38" i="1"/>
  <c r="Y38" i="1" s="1"/>
  <c r="AP38" i="1" s="1"/>
  <c r="Z38" i="1"/>
  <c r="AC38" i="1" s="1"/>
  <c r="AI38" i="1" s="1"/>
  <c r="AO26" i="1"/>
  <c r="Y26" i="1" s="1"/>
  <c r="AP26" i="1" s="1"/>
  <c r="Z26" i="1"/>
  <c r="AC26" i="1" s="1"/>
  <c r="AI26" i="1" s="1"/>
  <c r="AO14" i="1"/>
  <c r="Y14" i="1" s="1"/>
  <c r="AP14" i="1" s="1"/>
  <c r="Z14" i="1"/>
  <c r="AC14" i="1" s="1"/>
  <c r="AI14" i="1" s="1"/>
  <c r="AO2" i="1"/>
  <c r="Y2" i="1" s="1"/>
  <c r="AP2" i="1" s="1"/>
  <c r="Z2" i="1"/>
  <c r="AC2" i="1" s="1"/>
  <c r="AI2" i="1" s="1"/>
  <c r="AE73" i="1"/>
  <c r="AJ73" i="1" s="1"/>
  <c r="AE61" i="1"/>
  <c r="AJ61" i="1" s="1"/>
  <c r="AE49" i="1"/>
  <c r="AJ49" i="1" s="1"/>
  <c r="AE37" i="1"/>
  <c r="AJ37" i="1" s="1"/>
  <c r="AE25" i="1"/>
  <c r="AJ25" i="1" s="1"/>
  <c r="AE13" i="1"/>
  <c r="AJ13" i="1" s="1"/>
  <c r="AO58" i="1"/>
  <c r="Y58" i="1" s="1"/>
  <c r="AP58" i="1" s="1"/>
  <c r="Z58" i="1"/>
  <c r="AC58" i="1" s="1"/>
  <c r="AI58" i="1" s="1"/>
  <c r="AE97" i="1"/>
  <c r="AJ97" i="1" s="1"/>
  <c r="AE96" i="1"/>
  <c r="AJ96" i="1" s="1"/>
  <c r="AO84" i="1"/>
  <c r="Y84" i="1" s="1"/>
  <c r="AP84" i="1" s="1"/>
  <c r="Z84" i="1"/>
  <c r="AC84" i="1" s="1"/>
  <c r="AI84" i="1" s="1"/>
  <c r="AE72" i="1"/>
  <c r="AJ72" i="1" s="1"/>
  <c r="AO60" i="1"/>
  <c r="Y60" i="1" s="1"/>
  <c r="AP60" i="1" s="1"/>
  <c r="Z60" i="1"/>
  <c r="AC60" i="1" s="1"/>
  <c r="AI60" i="1" s="1"/>
  <c r="AO48" i="1"/>
  <c r="Y48" i="1" s="1"/>
  <c r="Z48" i="1"/>
  <c r="AC48" i="1" s="1"/>
  <c r="AI48" i="1" s="1"/>
  <c r="AO36" i="1"/>
  <c r="Y36" i="1" s="1"/>
  <c r="AP36" i="1" s="1"/>
  <c r="Z36" i="1"/>
  <c r="AC36" i="1" s="1"/>
  <c r="AI36" i="1" s="1"/>
  <c r="AE24" i="1"/>
  <c r="AJ24" i="1" s="1"/>
  <c r="AO12" i="1"/>
  <c r="Y12" i="1" s="1"/>
  <c r="AP12" i="1" s="1"/>
  <c r="Z12" i="1"/>
  <c r="AC12" i="1" s="1"/>
  <c r="AI12" i="1" s="1"/>
  <c r="AO17" i="1"/>
  <c r="Y17" i="1" s="1"/>
  <c r="AP17" i="1" s="1"/>
  <c r="AO33" i="1"/>
  <c r="Y33" i="1" s="1"/>
  <c r="AP33" i="1" s="1"/>
  <c r="AO49" i="1"/>
  <c r="Y49" i="1" s="1"/>
  <c r="AP49" i="1" s="1"/>
  <c r="AO65" i="1"/>
  <c r="Y65" i="1" s="1"/>
  <c r="AP65" i="1" s="1"/>
  <c r="AO81" i="1"/>
  <c r="Y81" i="1" s="1"/>
  <c r="AP81" i="1" s="1"/>
  <c r="AO97" i="1"/>
  <c r="Y97" i="1" s="1"/>
  <c r="AP97" i="1" s="1"/>
  <c r="AO16" i="1"/>
  <c r="Y16" i="1" s="1"/>
  <c r="AP16" i="1" s="1"/>
  <c r="AO32" i="1"/>
  <c r="Y32" i="1" s="1"/>
  <c r="AP32" i="1" s="1"/>
  <c r="AO64" i="1"/>
  <c r="Y64" i="1" s="1"/>
  <c r="AP64" i="1" s="1"/>
  <c r="AO80" i="1"/>
  <c r="Y80" i="1" s="1"/>
  <c r="AP80" i="1" s="1"/>
  <c r="AO96" i="1"/>
  <c r="Y96" i="1" s="1"/>
  <c r="AP96" i="1" s="1"/>
  <c r="AO5" i="1"/>
  <c r="Y5" i="1" s="1"/>
  <c r="AP5" i="1" s="1"/>
  <c r="AO21" i="1"/>
  <c r="Y21" i="1" s="1"/>
  <c r="AP21" i="1" s="1"/>
  <c r="AO37" i="1"/>
  <c r="Y37" i="1" s="1"/>
  <c r="AP37" i="1" s="1"/>
  <c r="AO53" i="1"/>
  <c r="Y53" i="1" s="1"/>
  <c r="AP53" i="1" s="1"/>
  <c r="AO69" i="1"/>
  <c r="Y69" i="1" s="1"/>
  <c r="AP69" i="1" s="1"/>
  <c r="AO101" i="1"/>
  <c r="Y101" i="1" s="1"/>
  <c r="AP101" i="1" s="1"/>
  <c r="Y103" i="1"/>
  <c r="AP103" i="1" s="1"/>
  <c r="AO9" i="1"/>
  <c r="Y9" i="1" s="1"/>
  <c r="AP9" i="1" s="1"/>
  <c r="AO25" i="1"/>
  <c r="Y25" i="1" s="1"/>
  <c r="AP25" i="1" s="1"/>
  <c r="AO41" i="1"/>
  <c r="Y41" i="1" s="1"/>
  <c r="AP41" i="1" s="1"/>
  <c r="AO57" i="1"/>
  <c r="Y57" i="1" s="1"/>
  <c r="AP57" i="1" s="1"/>
  <c r="AO73" i="1"/>
  <c r="Y73" i="1" s="1"/>
  <c r="AP73" i="1" s="1"/>
  <c r="AO89" i="1"/>
  <c r="Y89" i="1" s="1"/>
  <c r="AP89" i="1" s="1"/>
  <c r="AO105" i="1"/>
  <c r="Y105" i="1" s="1"/>
  <c r="AP105" i="1" s="1"/>
  <c r="Y102" i="1"/>
  <c r="AP102" i="1" s="1"/>
  <c r="Y30" i="1"/>
  <c r="AP30" i="1" s="1"/>
  <c r="Y22" i="1"/>
  <c r="AP22" i="1" s="1"/>
  <c r="AO15" i="1"/>
  <c r="Y15" i="1" s="1"/>
  <c r="AP15" i="1" s="1"/>
  <c r="AO63" i="1"/>
  <c r="Y63" i="1" s="1"/>
  <c r="AP63" i="1" s="1"/>
  <c r="AO79" i="1"/>
  <c r="Y79" i="1" s="1"/>
  <c r="AP79" i="1" s="1"/>
  <c r="AO95" i="1"/>
  <c r="Y95" i="1" s="1"/>
  <c r="AP95" i="1" s="1"/>
  <c r="AO8" i="1"/>
  <c r="Y8" i="1" s="1"/>
  <c r="AP8" i="1" s="1"/>
  <c r="AO24" i="1"/>
  <c r="Y24" i="1" s="1"/>
  <c r="AP24" i="1" s="1"/>
  <c r="AO40" i="1"/>
  <c r="Y40" i="1" s="1"/>
  <c r="AP40" i="1" s="1"/>
  <c r="AO56" i="1"/>
  <c r="Y56" i="1" s="1"/>
  <c r="AP56" i="1" s="1"/>
  <c r="AO72" i="1"/>
  <c r="Y72" i="1" s="1"/>
  <c r="AP72" i="1" s="1"/>
  <c r="AO88" i="1"/>
  <c r="Y88" i="1" s="1"/>
  <c r="AP88" i="1" s="1"/>
  <c r="AO104" i="1"/>
  <c r="Y104" i="1" s="1"/>
  <c r="AP104" i="1" s="1"/>
  <c r="AO13" i="1"/>
  <c r="Y13" i="1" s="1"/>
  <c r="AP13" i="1" s="1"/>
  <c r="AO29" i="1"/>
  <c r="Y29" i="1" s="1"/>
  <c r="AP29" i="1" s="1"/>
  <c r="AO45" i="1"/>
  <c r="Y45" i="1" s="1"/>
  <c r="AP45" i="1" s="1"/>
  <c r="AO61" i="1"/>
  <c r="Y61" i="1" s="1"/>
  <c r="AP61" i="1" s="1"/>
  <c r="AO77" i="1"/>
  <c r="Y77" i="1" s="1"/>
  <c r="AP77" i="1" s="1"/>
  <c r="AO93" i="1"/>
  <c r="Y93" i="1" s="1"/>
  <c r="AP93" i="1" s="1"/>
  <c r="Y75" i="1"/>
  <c r="AP75" i="1" s="1"/>
  <c r="AT99" i="1"/>
  <c r="AT91" i="1"/>
  <c r="AT83" i="1"/>
  <c r="AT75" i="1"/>
  <c r="AT67" i="1"/>
  <c r="AT59" i="1"/>
  <c r="AT51" i="1"/>
  <c r="AT43" i="1"/>
  <c r="AT35" i="1"/>
  <c r="AT27" i="1"/>
  <c r="AT19" i="1"/>
  <c r="AT11" i="1"/>
  <c r="AT3" i="1"/>
  <c r="AT4" i="1"/>
  <c r="AT106" i="1"/>
  <c r="AT98" i="1"/>
  <c r="AT90" i="1"/>
  <c r="AT82" i="1"/>
  <c r="AT74" i="1"/>
  <c r="AT66" i="1"/>
  <c r="AT58" i="1"/>
  <c r="AT50" i="1"/>
  <c r="AT42" i="1"/>
  <c r="AT34" i="1"/>
  <c r="AT26" i="1"/>
  <c r="AT18" i="1"/>
  <c r="AT10" i="1"/>
  <c r="AT2" i="1"/>
  <c r="AT97" i="1"/>
  <c r="AT81" i="1"/>
  <c r="AT65" i="1"/>
  <c r="AT49" i="1"/>
  <c r="AT33" i="1"/>
  <c r="AT17" i="1"/>
  <c r="AT52" i="1"/>
  <c r="AT105" i="1"/>
  <c r="AT89" i="1"/>
  <c r="AT73" i="1"/>
  <c r="AT57" i="1"/>
  <c r="AT41" i="1"/>
  <c r="AT25" i="1"/>
  <c r="AT9" i="1"/>
  <c r="AT44" i="1"/>
  <c r="AT12" i="1"/>
  <c r="AT104" i="1"/>
  <c r="AT96" i="1"/>
  <c r="AT88" i="1"/>
  <c r="AT80" i="1"/>
  <c r="AT72" i="1"/>
  <c r="AT64" i="1"/>
  <c r="AT56" i="1"/>
  <c r="AT48" i="1"/>
  <c r="AT40" i="1"/>
  <c r="AT32" i="1"/>
  <c r="AT24" i="1"/>
  <c r="AT16" i="1"/>
  <c r="AT8" i="1"/>
  <c r="AT31" i="1"/>
  <c r="AT15" i="1"/>
  <c r="AT93" i="1"/>
  <c r="AT61" i="1"/>
  <c r="AT45" i="1"/>
  <c r="AT21" i="1"/>
  <c r="AT5" i="1"/>
  <c r="AT92" i="1"/>
  <c r="AT60" i="1"/>
  <c r="AT20" i="1"/>
  <c r="AT103" i="1"/>
  <c r="AT95" i="1"/>
  <c r="AT87" i="1"/>
  <c r="AT79" i="1"/>
  <c r="AT71" i="1"/>
  <c r="AT63" i="1"/>
  <c r="AT55" i="1"/>
  <c r="AT47" i="1"/>
  <c r="AT39" i="1"/>
  <c r="AT23" i="1"/>
  <c r="AT7" i="1"/>
  <c r="AT85" i="1"/>
  <c r="AT69" i="1"/>
  <c r="AT37" i="1"/>
  <c r="AT13" i="1"/>
  <c r="AT84" i="1"/>
  <c r="AT68" i="1"/>
  <c r="AT36" i="1"/>
  <c r="AT102" i="1"/>
  <c r="AT94" i="1"/>
  <c r="AT86" i="1"/>
  <c r="AT78" i="1"/>
  <c r="AT70" i="1"/>
  <c r="AT62" i="1"/>
  <c r="AT54" i="1"/>
  <c r="AT46" i="1"/>
  <c r="AT38" i="1"/>
  <c r="AT30" i="1"/>
  <c r="AT22" i="1"/>
  <c r="AT14" i="1"/>
  <c r="AT6" i="1"/>
  <c r="AT101" i="1"/>
  <c r="AT77" i="1"/>
  <c r="AT53" i="1"/>
  <c r="AT29" i="1"/>
  <c r="AT100" i="1"/>
  <c r="AT76" i="1"/>
  <c r="AT28" i="1"/>
  <c r="Y85" i="1"/>
  <c r="Y76" i="1"/>
  <c r="Y68" i="1"/>
  <c r="Y31" i="1"/>
  <c r="AS103" i="1"/>
  <c r="AS55" i="1"/>
  <c r="AS39" i="1"/>
  <c r="AS14" i="1"/>
  <c r="AS102" i="1"/>
  <c r="AS94" i="1"/>
  <c r="AS86" i="1"/>
  <c r="AS78" i="1"/>
  <c r="AS70" i="1"/>
  <c r="AS62" i="1"/>
  <c r="AS54" i="1"/>
  <c r="AS30" i="1"/>
  <c r="AS101" i="1"/>
  <c r="AS93" i="1"/>
  <c r="AS85" i="1"/>
  <c r="AS77" i="1"/>
  <c r="AS69" i="1"/>
  <c r="AS61" i="1"/>
  <c r="AS53" i="1"/>
  <c r="AS45" i="1"/>
  <c r="AS37" i="1"/>
  <c r="AS29" i="1"/>
  <c r="AS21" i="1"/>
  <c r="AS13" i="1"/>
  <c r="AS5" i="1"/>
  <c r="AS48" i="1"/>
  <c r="AS71" i="1"/>
  <c r="AS31" i="1"/>
  <c r="AS22" i="1"/>
  <c r="AS100" i="1"/>
  <c r="AS92" i="1"/>
  <c r="AS84" i="1"/>
  <c r="AS76" i="1"/>
  <c r="AS68" i="1"/>
  <c r="AS60" i="1"/>
  <c r="AS52" i="1"/>
  <c r="AS44" i="1"/>
  <c r="AS36" i="1"/>
  <c r="AS28" i="1"/>
  <c r="AS20" i="1"/>
  <c r="AS12" i="1"/>
  <c r="AS4" i="1"/>
  <c r="AS2" i="1"/>
  <c r="AS104" i="1"/>
  <c r="AS80" i="1"/>
  <c r="AS40" i="1"/>
  <c r="AS8" i="1"/>
  <c r="AS95" i="1"/>
  <c r="AS47" i="1"/>
  <c r="AS38" i="1"/>
  <c r="AS99" i="1"/>
  <c r="AS91" i="1"/>
  <c r="AS83" i="1"/>
  <c r="AS75" i="1"/>
  <c r="AS67" i="1"/>
  <c r="AS59" i="1"/>
  <c r="AS51" i="1"/>
  <c r="AS43" i="1"/>
  <c r="AS35" i="1"/>
  <c r="AS27" i="1"/>
  <c r="AS19" i="1"/>
  <c r="AS11" i="1"/>
  <c r="AS3" i="1"/>
  <c r="AS18" i="1"/>
  <c r="AS88" i="1"/>
  <c r="AS56" i="1"/>
  <c r="AS32" i="1"/>
  <c r="AS16" i="1"/>
  <c r="AS63" i="1"/>
  <c r="AS23" i="1"/>
  <c r="AS46" i="1"/>
  <c r="AS106" i="1"/>
  <c r="AS98" i="1"/>
  <c r="AS90" i="1"/>
  <c r="AS82" i="1"/>
  <c r="AS74" i="1"/>
  <c r="AS66" i="1"/>
  <c r="AS58" i="1"/>
  <c r="AS50" i="1"/>
  <c r="AS42" i="1"/>
  <c r="AS34" i="1"/>
  <c r="AS26" i="1"/>
  <c r="AS10" i="1"/>
  <c r="AS96" i="1"/>
  <c r="AS72" i="1"/>
  <c r="AS24" i="1"/>
  <c r="AS87" i="1"/>
  <c r="AS15" i="1"/>
  <c r="AS105" i="1"/>
  <c r="AS97" i="1"/>
  <c r="AS89" i="1"/>
  <c r="AS81" i="1"/>
  <c r="AS73" i="1"/>
  <c r="AS65" i="1"/>
  <c r="AS57" i="1"/>
  <c r="AS49" i="1"/>
  <c r="AS41" i="1"/>
  <c r="AS33" i="1"/>
  <c r="AS25" i="1"/>
  <c r="AS17" i="1"/>
  <c r="AS9" i="1"/>
  <c r="AS64" i="1"/>
  <c r="AS79" i="1"/>
  <c r="AS7" i="1"/>
  <c r="AS6" i="1"/>
  <c r="AQ36" i="1"/>
  <c r="AQ85" i="1"/>
  <c r="AR21" i="1"/>
  <c r="AR79" i="1"/>
  <c r="AQ100" i="1"/>
  <c r="AR85" i="1"/>
  <c r="AQ44" i="1"/>
  <c r="AQ101" i="1"/>
  <c r="AR38" i="1"/>
  <c r="AR87" i="1"/>
  <c r="AQ37" i="1"/>
  <c r="AR23" i="1"/>
  <c r="AQ59" i="1"/>
  <c r="AR39" i="1"/>
  <c r="AR102" i="1"/>
  <c r="AQ3" i="1"/>
  <c r="AQ60" i="1"/>
  <c r="AR46" i="1"/>
  <c r="AR103" i="1"/>
  <c r="AQ13" i="1"/>
  <c r="AQ67" i="1"/>
  <c r="AR61" i="1"/>
  <c r="AQ19" i="1"/>
  <c r="AQ77" i="1"/>
  <c r="AR5" i="1"/>
  <c r="AR62" i="1"/>
  <c r="AQ21" i="1"/>
  <c r="AQ83" i="1"/>
  <c r="AR15" i="1"/>
  <c r="AR69" i="1"/>
  <c r="AQ20" i="1"/>
  <c r="AQ43" i="1"/>
  <c r="AQ61" i="1"/>
  <c r="AQ84" i="1"/>
  <c r="AR22" i="1"/>
  <c r="AR45" i="1"/>
  <c r="AR63" i="1"/>
  <c r="AR86" i="1"/>
  <c r="AQ4" i="1"/>
  <c r="AQ27" i="1"/>
  <c r="AQ45" i="1"/>
  <c r="AQ68" i="1"/>
  <c r="AQ91" i="1"/>
  <c r="AR6" i="1"/>
  <c r="AR29" i="1"/>
  <c r="AR47" i="1"/>
  <c r="AR70" i="1"/>
  <c r="AR93" i="1"/>
  <c r="AQ5" i="1"/>
  <c r="AQ28" i="1"/>
  <c r="AQ51" i="1"/>
  <c r="AQ69" i="1"/>
  <c r="AQ92" i="1"/>
  <c r="AR7" i="1"/>
  <c r="AR30" i="1"/>
  <c r="AR53" i="1"/>
  <c r="AR71" i="1"/>
  <c r="AR94" i="1"/>
  <c r="AQ11" i="1"/>
  <c r="AQ29" i="1"/>
  <c r="AQ52" i="1"/>
  <c r="AQ75" i="1"/>
  <c r="AQ93" i="1"/>
  <c r="AR13" i="1"/>
  <c r="AR31" i="1"/>
  <c r="AR54" i="1"/>
  <c r="AR77" i="1"/>
  <c r="AR95" i="1"/>
  <c r="AQ12" i="1"/>
  <c r="AQ35" i="1"/>
  <c r="AQ53" i="1"/>
  <c r="AQ76" i="1"/>
  <c r="AQ99" i="1"/>
  <c r="AR14" i="1"/>
  <c r="AR37" i="1"/>
  <c r="AR55" i="1"/>
  <c r="AR78" i="1"/>
  <c r="AR101" i="1"/>
  <c r="AQ6" i="1"/>
  <c r="AQ14" i="1"/>
  <c r="AQ22" i="1"/>
  <c r="AQ30" i="1"/>
  <c r="AQ38" i="1"/>
  <c r="AQ46" i="1"/>
  <c r="AQ54" i="1"/>
  <c r="AQ62" i="1"/>
  <c r="AQ70" i="1"/>
  <c r="AQ78" i="1"/>
  <c r="AQ86" i="1"/>
  <c r="AQ94" i="1"/>
  <c r="AQ102" i="1"/>
  <c r="AR8" i="1"/>
  <c r="AR16" i="1"/>
  <c r="AR24" i="1"/>
  <c r="AR32" i="1"/>
  <c r="AR40" i="1"/>
  <c r="AR48" i="1"/>
  <c r="AR56" i="1"/>
  <c r="AR64" i="1"/>
  <c r="AR72" i="1"/>
  <c r="AR80" i="1"/>
  <c r="AR88" i="1"/>
  <c r="AR96" i="1"/>
  <c r="AR104" i="1"/>
  <c r="AQ7" i="1"/>
  <c r="AQ15" i="1"/>
  <c r="AQ23" i="1"/>
  <c r="AQ31" i="1"/>
  <c r="AQ39" i="1"/>
  <c r="AQ47" i="1"/>
  <c r="AQ55" i="1"/>
  <c r="AQ63" i="1"/>
  <c r="AQ71" i="1"/>
  <c r="AQ79" i="1"/>
  <c r="AQ87" i="1"/>
  <c r="AQ95" i="1"/>
  <c r="AQ103" i="1"/>
  <c r="AR9" i="1"/>
  <c r="AR17" i="1"/>
  <c r="AR25" i="1"/>
  <c r="AR33" i="1"/>
  <c r="AR41" i="1"/>
  <c r="AR49" i="1"/>
  <c r="AR57" i="1"/>
  <c r="AR65" i="1"/>
  <c r="AR73" i="1"/>
  <c r="AR81" i="1"/>
  <c r="AR89" i="1"/>
  <c r="AR97" i="1"/>
  <c r="AR105" i="1"/>
  <c r="AQ8" i="1"/>
  <c r="AQ16" i="1"/>
  <c r="AQ24" i="1"/>
  <c r="AQ32" i="1"/>
  <c r="AQ40" i="1"/>
  <c r="AQ48" i="1"/>
  <c r="AQ56" i="1"/>
  <c r="AQ64" i="1"/>
  <c r="AQ72" i="1"/>
  <c r="AQ80" i="1"/>
  <c r="AQ88" i="1"/>
  <c r="AQ96" i="1"/>
  <c r="AQ104" i="1"/>
  <c r="AR2" i="1"/>
  <c r="AR10" i="1"/>
  <c r="AR18" i="1"/>
  <c r="AR26" i="1"/>
  <c r="AR34" i="1"/>
  <c r="AR42" i="1"/>
  <c r="AR50" i="1"/>
  <c r="AR58" i="1"/>
  <c r="AR66" i="1"/>
  <c r="AR74" i="1"/>
  <c r="AR82" i="1"/>
  <c r="AR90" i="1"/>
  <c r="AR98" i="1"/>
  <c r="AR106" i="1"/>
  <c r="AQ9" i="1"/>
  <c r="AQ17" i="1"/>
  <c r="AQ25" i="1"/>
  <c r="AQ33" i="1"/>
  <c r="AQ41" i="1"/>
  <c r="AQ49" i="1"/>
  <c r="AQ57" i="1"/>
  <c r="AQ65" i="1"/>
  <c r="AQ73" i="1"/>
  <c r="AQ81" i="1"/>
  <c r="AQ89" i="1"/>
  <c r="AQ97" i="1"/>
  <c r="AQ105" i="1"/>
  <c r="AR3" i="1"/>
  <c r="AR11" i="1"/>
  <c r="AR19" i="1"/>
  <c r="AR27" i="1"/>
  <c r="AR35" i="1"/>
  <c r="AR43" i="1"/>
  <c r="AR51" i="1"/>
  <c r="AR59" i="1"/>
  <c r="AR67" i="1"/>
  <c r="AR75" i="1"/>
  <c r="AR83" i="1"/>
  <c r="AR91" i="1"/>
  <c r="AR99" i="1"/>
  <c r="AQ2" i="1"/>
  <c r="AQ10" i="1"/>
  <c r="AQ18" i="1"/>
  <c r="AQ26" i="1"/>
  <c r="AQ34" i="1"/>
  <c r="AQ42" i="1"/>
  <c r="AQ50" i="1"/>
  <c r="AQ58" i="1"/>
  <c r="AQ66" i="1"/>
  <c r="AQ74" i="1"/>
  <c r="AQ82" i="1"/>
  <c r="AQ90" i="1"/>
  <c r="AQ98" i="1"/>
  <c r="AQ106" i="1"/>
  <c r="AR4" i="1"/>
  <c r="AR12" i="1"/>
  <c r="AR20" i="1"/>
  <c r="AR28" i="1"/>
  <c r="AR36" i="1"/>
  <c r="AR44" i="1"/>
  <c r="AR52" i="1"/>
  <c r="AR60" i="1"/>
  <c r="AR68" i="1"/>
  <c r="AR76" i="1"/>
  <c r="AR84" i="1"/>
  <c r="AR92" i="1"/>
  <c r="AR100" i="1"/>
  <c r="AE60" i="1" l="1"/>
  <c r="AJ60" i="1" s="1"/>
  <c r="AE2" i="1"/>
  <c r="AJ2" i="1" s="1"/>
  <c r="AE74" i="1"/>
  <c r="AJ74" i="1" s="1"/>
  <c r="AE87" i="1"/>
  <c r="AJ87" i="1" s="1"/>
  <c r="AE28" i="1"/>
  <c r="AJ28" i="1" s="1"/>
  <c r="AE100" i="1"/>
  <c r="AJ100" i="1" s="1"/>
  <c r="AE54" i="1"/>
  <c r="AJ54" i="1" s="1"/>
  <c r="AE46" i="1"/>
  <c r="AJ46" i="1" s="1"/>
  <c r="AE67" i="1"/>
  <c r="AJ67" i="1" s="1"/>
  <c r="AE20" i="1"/>
  <c r="AJ20" i="1" s="1"/>
  <c r="AE92" i="1"/>
  <c r="AJ92" i="1" s="1"/>
  <c r="AE10" i="1"/>
  <c r="AJ10" i="1" s="1"/>
  <c r="AE71" i="1"/>
  <c r="AJ71" i="1" s="1"/>
  <c r="AE14" i="1"/>
  <c r="AJ14" i="1" s="1"/>
  <c r="AE86" i="1"/>
  <c r="AJ86" i="1" s="1"/>
  <c r="AE27" i="1"/>
  <c r="AJ27" i="1" s="1"/>
  <c r="AE99" i="1"/>
  <c r="AJ99" i="1" s="1"/>
  <c r="AE34" i="1"/>
  <c r="AJ34" i="1" s="1"/>
  <c r="AE66" i="1"/>
  <c r="AJ66" i="1" s="1"/>
  <c r="AE7" i="1"/>
  <c r="AJ7" i="1" s="1"/>
  <c r="AE11" i="1"/>
  <c r="AJ11" i="1" s="1"/>
  <c r="AE83" i="1"/>
  <c r="AJ83" i="1" s="1"/>
  <c r="AE12" i="1"/>
  <c r="AJ12" i="1" s="1"/>
  <c r="AE84" i="1"/>
  <c r="AJ84" i="1" s="1"/>
  <c r="AE26" i="1"/>
  <c r="AJ26" i="1" s="1"/>
  <c r="AE98" i="1"/>
  <c r="AJ98" i="1" s="1"/>
  <c r="AE39" i="1"/>
  <c r="AJ39" i="1" s="1"/>
  <c r="AE52" i="1"/>
  <c r="AJ52" i="1" s="1"/>
  <c r="AE106" i="1"/>
  <c r="AJ106" i="1" s="1"/>
  <c r="AE6" i="1"/>
  <c r="AJ6" i="1" s="1"/>
  <c r="AE78" i="1"/>
  <c r="AJ78" i="1" s="1"/>
  <c r="AE19" i="1"/>
  <c r="AJ19" i="1" s="1"/>
  <c r="AE91" i="1"/>
  <c r="AJ91" i="1" s="1"/>
  <c r="AE44" i="1"/>
  <c r="AJ44" i="1" s="1"/>
  <c r="AE23" i="1"/>
  <c r="AJ23" i="1" s="1"/>
  <c r="AE38" i="1"/>
  <c r="AJ38" i="1" s="1"/>
  <c r="AE51" i="1"/>
  <c r="AJ51" i="1" s="1"/>
  <c r="AE82" i="1"/>
  <c r="AJ82" i="1" s="1"/>
  <c r="AE18" i="1"/>
  <c r="AJ18" i="1" s="1"/>
  <c r="AE90" i="1"/>
  <c r="AJ90" i="1" s="1"/>
  <c r="AE31" i="1"/>
  <c r="AJ31" i="1" s="1"/>
  <c r="AE103" i="1"/>
  <c r="AJ103" i="1" s="1"/>
  <c r="AE35" i="1"/>
  <c r="AJ35" i="1" s="1"/>
  <c r="AE36" i="1"/>
  <c r="AJ36" i="1" s="1"/>
  <c r="AE50" i="1"/>
  <c r="AJ50" i="1" s="1"/>
  <c r="AE70" i="1"/>
  <c r="AJ70" i="1" s="1"/>
  <c r="AE4" i="1"/>
  <c r="AJ4" i="1" s="1"/>
  <c r="AE76" i="1"/>
  <c r="AJ76" i="1" s="1"/>
  <c r="AE30" i="1"/>
  <c r="AJ30" i="1" s="1"/>
  <c r="AE102" i="1"/>
  <c r="AJ102" i="1" s="1"/>
  <c r="AE43" i="1"/>
  <c r="AJ43" i="1" s="1"/>
  <c r="AE94" i="1"/>
  <c r="AJ94" i="1" s="1"/>
  <c r="AE68" i="1"/>
  <c r="AJ68" i="1" s="1"/>
  <c r="AE47" i="1"/>
  <c r="AJ47" i="1" s="1"/>
  <c r="AE85" i="1"/>
  <c r="AJ85" i="1" s="1"/>
  <c r="AE48" i="1"/>
  <c r="AJ48" i="1" s="1"/>
  <c r="AE58" i="1"/>
  <c r="AJ58" i="1" s="1"/>
  <c r="AE62" i="1"/>
  <c r="AJ62" i="1" s="1"/>
  <c r="AE3" i="1"/>
  <c r="AJ3" i="1" s="1"/>
  <c r="AE75" i="1"/>
  <c r="AJ75" i="1" s="1"/>
  <c r="AE42" i="1"/>
  <c r="AJ42" i="1" s="1"/>
  <c r="AE55" i="1"/>
  <c r="AJ55" i="1" s="1"/>
  <c r="AE59" i="1"/>
  <c r="AJ59" i="1" s="1"/>
  <c r="AE22" i="1"/>
  <c r="AJ22" i="1" s="1"/>
  <c r="AP47" i="1"/>
  <c r="AP91" i="1"/>
  <c r="AP48" i="1"/>
  <c r="AP35" i="1"/>
  <c r="AP76" i="1"/>
  <c r="AP31" i="1"/>
  <c r="AP83" i="1"/>
  <c r="AP85" i="1"/>
  <c r="C24" i="2"/>
  <c r="C25" i="2"/>
  <c r="C23" i="2"/>
  <c r="C26" i="2"/>
  <c r="F26" i="2"/>
  <c r="C19" i="2" l="1"/>
  <c r="C21" i="2"/>
  <c r="C18" i="2"/>
  <c r="C20" i="2"/>
  <c r="AP68" i="1"/>
  <c r="C22" i="2"/>
</calcChain>
</file>

<file path=xl/sharedStrings.xml><?xml version="1.0" encoding="utf-8"?>
<sst xmlns="http://schemas.openxmlformats.org/spreadsheetml/2006/main" count="852" uniqueCount="425">
  <si>
    <t>Join</t>
  </si>
  <si>
    <t>Well</t>
  </si>
  <si>
    <t>Field</t>
  </si>
  <si>
    <t>State Province</t>
  </si>
  <si>
    <t>Company</t>
  </si>
  <si>
    <t>Service Company</t>
  </si>
  <si>
    <t>Log Date</t>
  </si>
  <si>
    <t>Class</t>
  </si>
  <si>
    <t>Max</t>
  </si>
  <si>
    <t>Average</t>
  </si>
  <si>
    <t>Country</t>
  </si>
  <si>
    <t>Nom Thicknes</t>
  </si>
  <si>
    <t>Colombia</t>
  </si>
  <si>
    <t>Class Text</t>
  </si>
  <si>
    <t>Clase I</t>
  </si>
  <si>
    <t>Clase III</t>
  </si>
  <si>
    <t>Clase IV</t>
  </si>
  <si>
    <t>Tope</t>
  </si>
  <si>
    <t>Base</t>
  </si>
  <si>
    <t>Intervalo</t>
  </si>
  <si>
    <t>NomOD</t>
  </si>
  <si>
    <t>NomID</t>
  </si>
  <si>
    <t>Pozo</t>
  </si>
  <si>
    <t>Item</t>
  </si>
  <si>
    <t>Nemonico</t>
  </si>
  <si>
    <t>Valor</t>
  </si>
  <si>
    <t>&lt;&lt;Pozo&gt;&gt;</t>
  </si>
  <si>
    <t>Campo</t>
  </si>
  <si>
    <t>&lt;&lt;Field&gt;&gt;</t>
  </si>
  <si>
    <t>Compañía</t>
  </si>
  <si>
    <t>&lt;&lt;Company&gt;&gt;</t>
  </si>
  <si>
    <t>Analista</t>
  </si>
  <si>
    <t>&lt;&lt;Interpreter&gt;&gt;</t>
  </si>
  <si>
    <t>Cristian C. Siatoya</t>
  </si>
  <si>
    <t>Brazos</t>
  </si>
  <si>
    <t>&lt;&lt;Arms&gt;&gt;</t>
  </si>
  <si>
    <t>&lt;&lt;NomOD&gt;&gt;</t>
  </si>
  <si>
    <t>&lt;&lt;NomID&gt;&gt;</t>
  </si>
  <si>
    <t>Fecha</t>
  </si>
  <si>
    <t>&lt;&lt;Fecha Servicio&gt;&gt;</t>
  </si>
  <si>
    <t>Ingeniero de Campo</t>
  </si>
  <si>
    <t>&lt;&lt;Ingeniero&gt;&gt;</t>
  </si>
  <si>
    <t>&lt;&lt;Tope&gt;&gt;</t>
  </si>
  <si>
    <t>&lt;&lt;Base&gt;&gt;</t>
  </si>
  <si>
    <t>&lt;&lt;Intervalo&gt;&gt;</t>
  </si>
  <si>
    <t>Juntas</t>
  </si>
  <si>
    <t>&lt;&lt;Joints&gt;&gt;</t>
  </si>
  <si>
    <t>&lt;&lt;#_IV&gt;&gt;</t>
  </si>
  <si>
    <t>&lt;&lt;#_III&gt;&gt;</t>
  </si>
  <si>
    <t>&lt;&lt;#_II&gt;&gt;</t>
  </si>
  <si>
    <t>&lt;&lt;#_I&gt;&gt;</t>
  </si>
  <si>
    <t>Junta Máximo Daño</t>
  </si>
  <si>
    <t>&lt;&lt;JointMax&gt;&gt;</t>
  </si>
  <si>
    <t>Máximo Daño</t>
  </si>
  <si>
    <t>&lt;&lt;JMMax&gt;&gt;</t>
  </si>
  <si>
    <t>Prof Máximo Daño</t>
  </si>
  <si>
    <t>&lt;&lt;JMDepth&gt;&gt;</t>
  </si>
  <si>
    <t>Espesor Remanente</t>
  </si>
  <si>
    <t>&lt;&lt;JMThickness&gt;&gt;</t>
  </si>
  <si>
    <t>Departamento</t>
  </si>
  <si>
    <t>&lt;&lt;State&gt;&gt;</t>
  </si>
  <si>
    <t>País</t>
  </si>
  <si>
    <t>&lt;&lt;Country&gt;&gt;</t>
  </si>
  <si>
    <t>Min Wall MFC</t>
  </si>
  <si>
    <t>Junta</t>
  </si>
  <si>
    <t>Tope (ft)</t>
  </si>
  <si>
    <t>Base (ft)</t>
  </si>
  <si>
    <t>Max (%)</t>
  </si>
  <si>
    <t>Comentario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</si>
  <si>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</si>
  <si>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</si>
  <si>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</si>
  <si>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</si>
  <si>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</si>
  <si>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</si>
  <si>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</si>
  <si>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</si>
  <si>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</si>
  <si>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</si>
  <si>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</si>
  <si>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</si>
  <si>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</si>
  <si>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</si>
  <si>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</si>
  <si>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</si>
  <si>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</si>
  <si>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</si>
  <si>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</si>
  <si>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</si>
  <si>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</si>
  <si>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</si>
  <si>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</si>
  <si>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</si>
  <si>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</si>
  <si>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</si>
  <si>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</si>
  <si>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</si>
  <si>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</si>
  <si>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</si>
  <si>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</si>
  <si>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</si>
  <si>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</si>
  <si>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</si>
  <si>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</si>
  <si>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</si>
  <si>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</si>
  <si>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</si>
  <si>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</si>
  <si>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</si>
  <si>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</si>
  <si>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</si>
  <si>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</si>
  <si>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</si>
  <si>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</si>
  <si>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</si>
  <si>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</si>
  <si>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</si>
  <si>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</si>
  <si>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</si>
  <si>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</si>
  <si>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</si>
  <si>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</si>
  <si>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</si>
  <si>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</si>
  <si>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</si>
  <si>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</si>
  <si>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</si>
  <si>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</si>
  <si>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</si>
  <si>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</si>
  <si>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</si>
  <si>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</si>
  <si>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</si>
  <si>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</si>
  <si>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</si>
  <si>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</si>
  <si>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</si>
  <si>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</si>
  <si>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</si>
  <si>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</si>
  <si>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</si>
  <si>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</si>
  <si>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</si>
  <si>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</si>
  <si>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</si>
  <si>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</si>
  <si>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</si>
  <si>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</si>
  <si>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</si>
  <si>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</si>
  <si>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</si>
  <si>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</si>
  <si>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</si>
  <si>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</si>
  <si>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</si>
  <si>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</si>
  <si>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</si>
  <si>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</si>
  <si>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</si>
  <si>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</si>
  <si>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</si>
  <si>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</si>
  <si>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</si>
  <si>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</si>
  <si>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</si>
  <si>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</si>
  <si>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</si>
  <si>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</si>
  <si>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</si>
  <si>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</si>
  <si>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</si>
  <si>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</si>
  <si>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</si>
  <si>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</si>
  <si>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</si>
  <si>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</si>
  <si>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Average (%)</t>
  </si>
  <si>
    <t>XC1</t>
  </si>
  <si>
    <t>XC2</t>
  </si>
  <si>
    <t>3D</t>
  </si>
  <si>
    <t>LOG</t>
  </si>
  <si>
    <t>Destino del Archivo</t>
  </si>
  <si>
    <t>&lt;&lt;Path&gt;&gt;</t>
  </si>
  <si>
    <t>Nom OD</t>
  </si>
  <si>
    <t>Nom ID</t>
  </si>
  <si>
    <t>Clase II</t>
  </si>
  <si>
    <t>Prof. Max. (ft</t>
  </si>
  <si>
    <t>Prof. Max. (ft)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</si>
  <si>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</si>
  <si>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</si>
  <si>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</si>
  <si>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</si>
  <si>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</si>
  <si>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</si>
  <si>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</si>
  <si>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</si>
  <si>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</si>
  <si>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</si>
  <si>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</si>
  <si>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</si>
  <si>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</si>
  <si>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</si>
  <si>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</si>
  <si>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</si>
  <si>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</si>
  <si>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</si>
  <si>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</si>
  <si>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</si>
  <si>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</si>
  <si>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</si>
  <si>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</si>
  <si>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</si>
  <si>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</si>
  <si>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</si>
  <si>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</si>
  <si>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</si>
  <si>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</si>
  <si>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</si>
  <si>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</si>
  <si>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</si>
  <si>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</si>
  <si>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</si>
  <si>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</si>
  <si>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</si>
  <si>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</si>
  <si>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</si>
  <si>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</si>
  <si>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</si>
  <si>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</si>
  <si>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</si>
  <si>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</si>
  <si>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</si>
  <si>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</si>
  <si>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</si>
  <si>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</si>
  <si>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</si>
  <si>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</si>
  <si>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</si>
  <si>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</si>
  <si>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</si>
  <si>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</si>
  <si>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</si>
  <si>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Ecopetrol</t>
  </si>
  <si>
    <t>Clase V</t>
  </si>
  <si>
    <t>&lt;&lt;#_V&gt;&gt;</t>
  </si>
  <si>
    <t>Exploratorio</t>
  </si>
  <si>
    <t>Expro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</si>
  <si>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</si>
  <si>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</si>
  <si>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</si>
  <si>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</si>
  <si>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</si>
  <si>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</si>
  <si>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</si>
  <si>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</si>
  <si>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</si>
  <si>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</si>
  <si>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</si>
  <si>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</si>
  <si>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</si>
  <si>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</si>
  <si>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</si>
  <si>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</si>
  <si>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</si>
  <si>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</si>
  <si>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</si>
  <si>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</si>
  <si>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</si>
  <si>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</si>
  <si>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</si>
  <si>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</si>
  <si>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</si>
  <si>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</si>
  <si>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</si>
  <si>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</si>
  <si>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</si>
  <si>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</si>
  <si>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</si>
  <si>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</si>
  <si>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</si>
  <si>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</si>
  <si>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</si>
  <si>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</si>
  <si>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</si>
  <si>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</si>
  <si>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</si>
  <si>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</si>
  <si>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</si>
  <si>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</si>
  <si>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</si>
  <si>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</si>
  <si>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</si>
  <si>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</si>
  <si>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</si>
  <si>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</si>
  <si>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</si>
  <si>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</si>
  <si>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</si>
  <si>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</si>
  <si>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</si>
  <si>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</si>
  <si>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</si>
  <si>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</si>
  <si>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</si>
  <si>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</si>
  <si>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</si>
  <si>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</si>
  <si>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</si>
  <si>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</si>
  <si>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</si>
  <si>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</si>
  <si>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</si>
  <si>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</si>
  <si>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</si>
  <si>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</si>
  <si>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</si>
  <si>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</si>
  <si>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</si>
  <si>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</si>
  <si>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</si>
  <si>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</si>
  <si>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</si>
  <si>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</si>
  <si>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</si>
  <si>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</si>
  <si>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</si>
  <si>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</si>
  <si>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</si>
  <si>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</si>
  <si>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</si>
  <si>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</si>
  <si>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</si>
  <si>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</si>
  <si>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</si>
  <si>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</si>
  <si>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</si>
  <si>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</si>
  <si>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</si>
  <si>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</si>
  <si>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</si>
  <si>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</si>
  <si>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</si>
  <si>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</si>
  <si>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</si>
  <si>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</si>
  <si>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</si>
  <si>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</si>
  <si>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</si>
  <si>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</si>
  <si>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</si>
  <si>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</si>
  <si>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</si>
  <si>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</si>
  <si>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</si>
  <si>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</si>
  <si>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</si>
  <si>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</si>
  <si>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</si>
  <si>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</si>
  <si>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</si>
  <si>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</si>
  <si>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</si>
  <si>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</si>
  <si>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</si>
  <si>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</si>
  <si>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</si>
  <si>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</si>
  <si>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</si>
  <si>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</si>
  <si>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</si>
  <si>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</si>
  <si>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</si>
  <si>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</si>
  <si>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</si>
  <si>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</si>
  <si>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</si>
  <si>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</si>
  <si>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</si>
  <si>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</si>
  <si>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</si>
  <si>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</si>
  <si>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</si>
  <si>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</si>
  <si>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</si>
  <si>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</si>
  <si>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</si>
  <si>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</si>
  <si>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</si>
  <si>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Top Body</t>
  </si>
  <si>
    <t>Bottom Body</t>
  </si>
  <si>
    <t>Body Length</t>
  </si>
  <si>
    <t>Min. Diam. Ins.</t>
  </si>
  <si>
    <t>Min. Diam. Depth</t>
  </si>
  <si>
    <t>Max. Wall Ins.</t>
  </si>
  <si>
    <t>Max. Loss %</t>
  </si>
  <si>
    <t>Max. Loss Depth</t>
  </si>
  <si>
    <t>Max. Pen. Ins</t>
  </si>
  <si>
    <t>Max. Pen. Depth</t>
  </si>
  <si>
    <t>Min. Wall Ins.</t>
  </si>
  <si>
    <t>Max. Pen. %</t>
  </si>
  <si>
    <t>Presión de Colapso PSI</t>
  </si>
  <si>
    <t>Presión de Estallido PSI</t>
  </si>
  <si>
    <t>T302</t>
  </si>
  <si>
    <t>T303</t>
  </si>
  <si>
    <t>T304</t>
  </si>
  <si>
    <t>T305</t>
  </si>
  <si>
    <t>Mean Wall Ins.</t>
  </si>
  <si>
    <t>Wear%</t>
  </si>
  <si>
    <t>Raw Ovality%</t>
  </si>
  <si>
    <t>Ovality%</t>
  </si>
  <si>
    <t>Rem. F Wear</t>
  </si>
  <si>
    <t>Rem. F. Ovality</t>
  </si>
  <si>
    <t>Factor Ovality Total</t>
  </si>
  <si>
    <t>Presion de Estallido API</t>
  </si>
  <si>
    <t>Presion de Colapso API</t>
  </si>
  <si>
    <t>Well-1</t>
  </si>
  <si>
    <t>State</t>
  </si>
  <si>
    <t>ingeniero</t>
  </si>
  <si>
    <t>24/5/2022</t>
  </si>
  <si>
    <t>Class Oval.</t>
  </si>
  <si>
    <t>Class Pen.</t>
  </si>
  <si>
    <t>Max. Ovality %</t>
  </si>
  <si>
    <t>Max. Ovality Depth</t>
  </si>
  <si>
    <t>Perf.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</si>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</sst>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0.0000"/>
    <numFmt numFmtId="165" formatCode="_(* #,##0.00_);_(* \(#,##0.00\);_(* &quot;-&quot;_);_(@_)"/>
    <numFmt numFmtId="166" formatCode="_(* #,##0.000_);_(* \(#,##0.000\);_(* &quot;-&quot;_);_(@_)"/>
    <numFmt numFmtId="167" formatCode="0.000%"/>
    <numFmt numFmtId="168" formatCode="0.00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3">
    <xf numFmtId="0" fontId="0" fillId="0" borderId="0"/>
    <xf numFmtId="41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2" fontId="0" fillId="0" borderId="0" xfId="0" applyNumberFormat="1"/>
    <xf numFmtId="2" fontId="6" fillId="0" borderId="0" xfId="0" applyNumberFormat="1" applyFont="1"/>
    <xf numFmtId="165" fontId="0" fillId="0" borderId="0" xfId="1" applyNumberFormat="1" applyFont="1"/>
    <xf numFmtId="166" fontId="0" fillId="0" borderId="0" xfId="1" applyNumberFormat="1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0" fontId="3" fillId="2" borderId="2" xfId="0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 wrapText="1"/>
    </xf>
    <xf numFmtId="0" fontId="0" fillId="0" borderId="2" xfId="0" applyBorder="1"/>
    <xf numFmtId="2" fontId="0" fillId="0" borderId="2" xfId="0" applyNumberFormat="1" applyBorder="1"/>
    <xf numFmtId="164" fontId="0" fillId="0" borderId="2" xfId="0" applyNumberFormat="1" applyBorder="1"/>
    <xf numFmtId="165" fontId="0" fillId="0" borderId="2" xfId="1" applyNumberFormat="1" applyFont="1" applyBorder="1"/>
    <xf numFmtId="168" fontId="0" fillId="0" borderId="2" xfId="0" applyNumberFormat="1" applyBorder="1"/>
    <xf numFmtId="167" fontId="0" fillId="0" borderId="2" xfId="10" applyNumberFormat="1" applyFont="1" applyBorder="1"/>
    <xf numFmtId="14" fontId="0" fillId="0" borderId="2" xfId="0" applyNumberFormat="1" applyBorder="1"/>
    <xf numFmtId="0" fontId="0" fillId="0" borderId="2" xfId="0" applyBorder="1" applyAlignment="1">
      <alignment horizontal="center"/>
    </xf>
    <xf numFmtId="10" fontId="0" fillId="0" borderId="2" xfId="10" applyNumberFormat="1" applyFont="1" applyBorder="1"/>
    <xf numFmtId="0" fontId="7" fillId="0" borderId="2" xfId="0" applyFont="1" applyBorder="1"/>
    <xf numFmtId="2" fontId="0" fillId="0" borderId="2" xfId="0" applyNumberFormat="1" applyBorder="1" applyAlignment="1">
      <alignment horizontal="center"/>
    </xf>
    <xf numFmtId="165" fontId="0" fillId="0" borderId="2" xfId="1" applyNumberFormat="1" applyFont="1" applyFill="1" applyBorder="1"/>
    <xf numFmtId="0" fontId="0" fillId="3" borderId="2" xfId="0" applyFill="1" applyBorder="1"/>
  </cellXfs>
  <cellStyles count="23"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Millares [0]" xfId="1" builtinId="6"/>
    <cellStyle name="Normal" xfId="0" builtinId="0"/>
    <cellStyle name="Porcentaje" xfId="10" builtinId="5"/>
  </cellStyles>
  <dxfs count="14"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C00000"/>
        </patternFill>
      </fill>
    </dxf>
    <dxf>
      <font>
        <strike val="0"/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85BD5F"/>
        </patternFill>
      </fill>
    </dxf>
    <dxf>
      <font>
        <color auto="1"/>
      </font>
      <fill>
        <patternFill>
          <bgColor rgb="FFFFFF71"/>
        </patternFill>
      </fill>
    </dxf>
  </dxfs>
  <tableStyles count="0" defaultTableStyle="TableStyleMedium9" defaultPivotStyle="PivotStyleMedium7"/>
  <colors>
    <mruColors>
      <color rgb="FFFFFFD1"/>
      <color rgb="FF85BD5F"/>
      <color rgb="FFFFF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Histograma</a:t>
            </a:r>
            <a:r>
              <a:rPr lang="en-US" baseline="0"/>
              <a:t> de Clases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5BD5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5BD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B1-4D21-9A74-2A38DA9CDBD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B1-4D21-9A74-2A38DA9CDBDF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B94-40F1-964C-457D37D16F24}"/>
              </c:ext>
            </c:extLst>
          </c:dPt>
          <c:dPt>
            <c:idx val="3"/>
            <c:invertIfNegative val="0"/>
            <c:bubble3D val="0"/>
            <c:spPr>
              <a:solidFill>
                <a:srgbClr val="85BD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B1-4D21-9A74-2A38DA9CDBDF}"/>
              </c:ext>
            </c:extLst>
          </c:dPt>
          <c:dPt>
            <c:idx val="4"/>
            <c:invertIfNegative val="0"/>
            <c:bubble3D val="0"/>
            <c:spPr>
              <a:solidFill>
                <a:srgbClr val="FFFFD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B94-40F1-964C-457D37D16F24}"/>
              </c:ext>
            </c:extLst>
          </c:dPt>
          <c:cat>
            <c:strRef>
              <c:f>Reporte!$A$18:$A$22</c:f>
              <c:strCache>
                <c:ptCount val="5"/>
                <c:pt idx="0">
                  <c:v>Clase V</c:v>
                </c:pt>
                <c:pt idx="1">
                  <c:v>Clase IV</c:v>
                </c:pt>
                <c:pt idx="2">
                  <c:v>Clase III</c:v>
                </c:pt>
                <c:pt idx="3">
                  <c:v>Clase II</c:v>
                </c:pt>
                <c:pt idx="4">
                  <c:v>Clase I</c:v>
                </c:pt>
              </c:strCache>
            </c:strRef>
          </c:cat>
          <c:val>
            <c:numRef>
              <c:f>Reporte!$C$18:$C$22</c:f>
              <c:numCache>
                <c:formatCode>General</c:formatCode>
                <c:ptCount val="5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28</c:v>
                </c:pt>
                <c:pt idx="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B1-4D21-9A74-2A38DA9CD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380080"/>
        <c:axId val="2000813152"/>
      </c:barChart>
      <c:catAx>
        <c:axId val="200238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813152"/>
        <c:crosses val="autoZero"/>
        <c:auto val="1"/>
        <c:lblAlgn val="ctr"/>
        <c:lblOffset val="100"/>
        <c:noMultiLvlLbl val="0"/>
      </c:catAx>
      <c:valAx>
        <c:axId val="200081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13221487060003"/>
          <c:y val="0.31311271091113602"/>
          <c:w val="0.16868085228003499"/>
          <c:h val="0.43143127109111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10</xdr:row>
      <xdr:rowOff>177800</xdr:rowOff>
    </xdr:from>
    <xdr:to>
      <xdr:col>8</xdr:col>
      <xdr:colOff>787400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7"/>
  <sheetViews>
    <sheetView tabSelected="1" topLeftCell="B1" zoomScale="80" zoomScaleNormal="80" workbookViewId="0">
      <pane ySplit="1" topLeftCell="A42" activePane="bottomLeft" state="frozen"/>
      <selection activeCell="D1" sqref="D1"/>
      <selection pane="bottomLeft" activeCell="H67" sqref="H67"/>
    </sheetView>
  </sheetViews>
  <sheetFormatPr baseColWidth="10" defaultColWidth="10.875" defaultRowHeight="15.75" x14ac:dyDescent="0.25"/>
  <cols>
    <col min="1" max="1" width="11.875" style="10" customWidth="1"/>
    <col min="2" max="5" width="10.875" style="10"/>
    <col min="6" max="6" width="14" style="10" customWidth="1"/>
    <col min="7" max="7" width="10.875" style="10"/>
    <col min="8" max="8" width="8.625" style="10" customWidth="1"/>
    <col min="9" max="9" width="9.125" style="10" customWidth="1"/>
    <col min="10" max="10" width="9.25" style="10" customWidth="1"/>
    <col min="11" max="11" width="5.5" style="10" customWidth="1"/>
    <col min="12" max="12" width="10.375" style="13" customWidth="1"/>
    <col min="13" max="13" width="10.25" style="13" customWidth="1"/>
    <col min="14" max="14" width="7.25" style="13" customWidth="1"/>
    <col min="15" max="15" width="6.75" style="10" customWidth="1"/>
    <col min="16" max="16" width="8.625" style="10" customWidth="1"/>
    <col min="17" max="17" width="6.75" style="10" customWidth="1"/>
    <col min="18" max="18" width="8.25" style="10" customWidth="1"/>
    <col min="19" max="19" width="10.25" style="10" bestFit="1" customWidth="1"/>
    <col min="20" max="20" width="9.375" style="10" customWidth="1"/>
    <col min="21" max="21" width="6.75" style="10" customWidth="1"/>
    <col min="22" max="22" width="10.375" style="13" customWidth="1"/>
    <col min="23" max="23" width="6.875" style="10" customWidth="1"/>
    <col min="24" max="24" width="8.75" style="10" customWidth="1"/>
    <col min="25" max="25" width="5.75" style="10" customWidth="1"/>
    <col min="26" max="26" width="5.75" style="10" hidden="1" customWidth="1"/>
    <col min="27" max="31" width="7" style="10" hidden="1" customWidth="1"/>
    <col min="32" max="32" width="8.25" style="10" hidden="1" customWidth="1"/>
    <col min="33" max="34" width="7.625" style="10" hidden="1" customWidth="1"/>
    <col min="35" max="35" width="8.625" style="10" customWidth="1"/>
    <col min="36" max="37" width="7.625" style="10" customWidth="1"/>
    <col min="38" max="38" width="9.5" style="10" customWidth="1"/>
    <col min="39" max="40" width="6.625" style="17" customWidth="1"/>
    <col min="41" max="41" width="8.375" style="10" customWidth="1"/>
    <col min="42" max="42" width="10.875" style="10"/>
    <col min="43" max="43" width="109.5" style="10" customWidth="1"/>
    <col min="44" max="44" width="108.125" style="10" customWidth="1"/>
    <col min="45" max="45" width="105.75" style="10" customWidth="1"/>
    <col min="46" max="46" width="88.5" style="10" customWidth="1"/>
    <col min="47" max="47" width="10.875" style="10"/>
    <col min="48" max="16384" width="10.875" style="6"/>
  </cols>
  <sheetData>
    <row r="1" spans="1:47" s="5" customFormat="1" ht="63.6" customHeight="1" x14ac:dyDescent="0.25">
      <c r="A1" s="8" t="s">
        <v>1</v>
      </c>
      <c r="B1" s="8" t="s">
        <v>2</v>
      </c>
      <c r="C1" s="8" t="s">
        <v>10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183</v>
      </c>
      <c r="I1" s="8" t="s">
        <v>184</v>
      </c>
      <c r="J1" s="8" t="s">
        <v>11</v>
      </c>
      <c r="K1" s="8" t="s">
        <v>0</v>
      </c>
      <c r="L1" s="9" t="s">
        <v>388</v>
      </c>
      <c r="M1" s="9" t="s">
        <v>389</v>
      </c>
      <c r="N1" s="9" t="s">
        <v>390</v>
      </c>
      <c r="O1" s="8" t="s">
        <v>391</v>
      </c>
      <c r="P1" s="8" t="s">
        <v>392</v>
      </c>
      <c r="Q1" s="8" t="s">
        <v>393</v>
      </c>
      <c r="R1" s="8" t="s">
        <v>394</v>
      </c>
      <c r="S1" s="8" t="s">
        <v>395</v>
      </c>
      <c r="T1" s="8" t="s">
        <v>406</v>
      </c>
      <c r="U1" s="8" t="s">
        <v>396</v>
      </c>
      <c r="V1" s="9" t="s">
        <v>397</v>
      </c>
      <c r="W1" s="8" t="s">
        <v>398</v>
      </c>
      <c r="X1" s="8" t="s">
        <v>399</v>
      </c>
      <c r="Y1" s="8" t="s">
        <v>420</v>
      </c>
      <c r="Z1" s="8" t="s">
        <v>407</v>
      </c>
      <c r="AA1" s="8" t="s">
        <v>408</v>
      </c>
      <c r="AB1" s="8" t="s">
        <v>409</v>
      </c>
      <c r="AC1" s="8" t="s">
        <v>410</v>
      </c>
      <c r="AD1" s="8" t="s">
        <v>411</v>
      </c>
      <c r="AE1" s="8" t="s">
        <v>412</v>
      </c>
      <c r="AF1" s="8" t="s">
        <v>413</v>
      </c>
      <c r="AG1" s="8" t="s">
        <v>414</v>
      </c>
      <c r="AH1" s="8" t="s">
        <v>8</v>
      </c>
      <c r="AI1" s="8" t="s">
        <v>401</v>
      </c>
      <c r="AJ1" s="8" t="s">
        <v>400</v>
      </c>
      <c r="AK1" s="8" t="s">
        <v>421</v>
      </c>
      <c r="AL1" s="8" t="s">
        <v>422</v>
      </c>
      <c r="AM1" s="8" t="s">
        <v>419</v>
      </c>
      <c r="AN1" s="8"/>
      <c r="AO1" s="8" t="s">
        <v>63</v>
      </c>
      <c r="AP1" s="8" t="s">
        <v>13</v>
      </c>
      <c r="AQ1" s="8" t="s">
        <v>177</v>
      </c>
      <c r="AR1" s="8" t="s">
        <v>178</v>
      </c>
      <c r="AS1" s="8" t="s">
        <v>179</v>
      </c>
      <c r="AT1" s="8" t="s">
        <v>180</v>
      </c>
      <c r="AU1" s="8"/>
    </row>
    <row r="2" spans="1:47" x14ac:dyDescent="0.25">
      <c r="A2" s="10" t="str">
        <f t="shared" ref="A2:A64" si="0">Pozo</f>
        <v>Well-1</v>
      </c>
      <c r="B2" s="10" t="str">
        <f t="shared" ref="B2:B64" si="1">campo</f>
        <v>Exploratorio</v>
      </c>
      <c r="C2" s="10" t="str">
        <f t="shared" ref="C2:C64" si="2">Pais</f>
        <v>Colombia</v>
      </c>
      <c r="D2" s="10" t="str">
        <f t="shared" ref="D2:D64" si="3">Departamento</f>
        <v>State</v>
      </c>
      <c r="E2" s="10" t="str">
        <f t="shared" ref="E2:E64" si="4">company</f>
        <v>Ecopetrol</v>
      </c>
      <c r="F2" s="10" t="s">
        <v>246</v>
      </c>
      <c r="G2" s="16" t="str">
        <f t="shared" ref="G2:G64" si="5">Logdate</f>
        <v>24/5/2022</v>
      </c>
      <c r="H2" s="10">
        <v>7</v>
      </c>
      <c r="I2" s="10">
        <v>6.3659999999999997</v>
      </c>
      <c r="J2" s="10">
        <f t="shared" ref="J2:J65" si="6">(H2-I2)/2</f>
        <v>0.31700000000000017</v>
      </c>
      <c r="K2" s="10">
        <v>1</v>
      </c>
      <c r="L2" s="13">
        <v>20.969000000000001</v>
      </c>
      <c r="M2" s="13">
        <v>37.692999999999998</v>
      </c>
      <c r="N2" s="13">
        <v>16.725000000000001</v>
      </c>
      <c r="O2" s="12">
        <v>6.3575000800000003</v>
      </c>
      <c r="P2" s="11">
        <v>31.299999199999998</v>
      </c>
      <c r="Q2" s="12">
        <v>0.33299994500000002</v>
      </c>
      <c r="R2" s="12">
        <v>5.8070425999999999</v>
      </c>
      <c r="S2" s="12">
        <v>23.899999600000001</v>
      </c>
      <c r="T2" s="12">
        <v>0.29977607699999997</v>
      </c>
      <c r="U2" s="10">
        <v>6.4619998900000004</v>
      </c>
      <c r="V2" s="13">
        <v>22.299999199999998</v>
      </c>
      <c r="W2" s="12">
        <v>0.26900005300000002</v>
      </c>
      <c r="X2" s="12">
        <v>15.141915300000001</v>
      </c>
      <c r="Y2" s="17" t="str">
        <f t="shared" ref="Y2:Y33" si="7">IF((1-AO2)&lt;20%,"I",IF((1-AO2)&lt;40%,"II",IF((1-AO2)&lt;60%,"III",IF((1-AO2)&lt;80%,"IV","V"))))</f>
        <v>I</v>
      </c>
      <c r="Z2" s="17">
        <f t="shared" ref="Z2:Z65" si="8">+((J2-W2)/J2)*100</f>
        <v>15.141939116719282</v>
      </c>
      <c r="AA2" s="17">
        <f t="shared" ref="AA2:AA65" si="9">+((U2/O2)-1)*100</f>
        <v>1.6437248711760999</v>
      </c>
      <c r="AB2" s="17">
        <f t="shared" ref="AB2:AB65" si="10">+(((U2-(T2-W2))/O2)-1)*100</f>
        <v>1.1596348418764002</v>
      </c>
      <c r="AC2" s="17">
        <f t="shared" ref="AC2:AC65" si="11">+(100-Z2)/100</f>
        <v>0.84858060883280717</v>
      </c>
      <c r="AD2" s="17">
        <f t="shared" ref="AD2:AD65" si="12">IF(AB2&gt;=0.5,(1-(0.05*(AB2-0.5))),1)</f>
        <v>0.96701825790618001</v>
      </c>
      <c r="AE2" s="17">
        <f t="shared" ref="AE2:AE65" si="13">ROUND(AC2*AD2,2)</f>
        <v>0.82</v>
      </c>
      <c r="AF2" s="17">
        <v>6340</v>
      </c>
      <c r="AG2" s="17">
        <v>3830</v>
      </c>
      <c r="AH2" s="17">
        <f t="shared" ref="AH2:AH64" si="14">AK2/100</f>
        <v>1.2806365500000002E-2</v>
      </c>
      <c r="AI2" s="17">
        <f t="shared" ref="AI2:AI65" si="15">+AC2*AF2</f>
        <v>5380.0010599999978</v>
      </c>
      <c r="AJ2" s="17">
        <f t="shared" ref="AJ2:AJ64" si="16">+AE2*AG2</f>
        <v>3140.6</v>
      </c>
      <c r="AK2" s="17">
        <v>1.2806365500000001</v>
      </c>
      <c r="AL2" s="17">
        <v>22.399999600000001</v>
      </c>
      <c r="AM2" s="20" t="str">
        <f t="shared" ref="AM2:AM64" si="17">IF((AH2)&lt;2%,"I",IF((AH2)&lt;5%,"II","III"))</f>
        <v>I</v>
      </c>
      <c r="AN2" s="20"/>
      <c r="AO2" s="18">
        <f t="shared" ref="AO2:AO33" si="18">((100*W2)/J2)%</f>
        <v>0.84858060883280717</v>
      </c>
      <c r="AP2" s="10" t="str">
        <f t="shared" ref="AP2:AP33" si="19">IF(Y2="I","Daño del 0-15%",IF(Y2="II","Daño del 15-25%",IF(Y2="III","Daño del 25-50%","Daño del 50-100%")))</f>
        <v>Daño del 0-15%</v>
      </c>
      <c r="AQ2" s="19" t="str">
        <f t="shared" ref="AQ2:AQ32" ca="1" si="20">Path&amp;"images\sec_max_pen_T"&amp;$K2&amp;".png"</f>
        <v>D:\1. Pozos\11. Noviembre\4. DT-96\images\sec_max_pen_T1.png</v>
      </c>
      <c r="AR2" s="19" t="str">
        <f t="shared" ref="AR2:AR32" ca="1" si="21">Path&amp;"images\sec_max_res_T"&amp;$K2&amp;".png"</f>
        <v>D:\1. Pozos\11. Noviembre\4. DT-96\images\sec_max_res_T1.png</v>
      </c>
      <c r="AS2" s="10" t="str">
        <f t="shared" ref="AS2:AS32" ca="1" si="22">Path&amp;"images\"&amp;$K2&amp;".emf"</f>
        <v>D:\1. Pozos\11. Noviembre\4. DT-96\images\1.emf</v>
      </c>
      <c r="AT2" s="19" t="str">
        <f t="shared" ref="AT2:AT32" ca="1" si="23">Path&amp;"images\GraficaIntegradaT"&amp;$K2&amp;".png"</f>
        <v>D:\1. Pozos\11. Noviembre\4. DT-96\images\GraficaIntegradaT1.png</v>
      </c>
    </row>
    <row r="3" spans="1:47" x14ac:dyDescent="0.25">
      <c r="A3" s="10" t="str">
        <f t="shared" si="0"/>
        <v>Well-1</v>
      </c>
      <c r="B3" s="10" t="str">
        <f t="shared" si="1"/>
        <v>Exploratorio</v>
      </c>
      <c r="C3" s="10" t="str">
        <f t="shared" si="2"/>
        <v>Colombia</v>
      </c>
      <c r="D3" s="10" t="str">
        <f t="shared" si="3"/>
        <v>State</v>
      </c>
      <c r="E3" s="10" t="str">
        <f t="shared" si="4"/>
        <v>Ecopetrol</v>
      </c>
      <c r="F3" s="10" t="s">
        <v>246</v>
      </c>
      <c r="G3" s="16" t="str">
        <f t="shared" si="5"/>
        <v>24/5/2022</v>
      </c>
      <c r="H3" s="10">
        <v>7</v>
      </c>
      <c r="I3" s="10">
        <v>6.3659999999999997</v>
      </c>
      <c r="J3" s="10">
        <f t="shared" si="6"/>
        <v>0.31700000000000017</v>
      </c>
      <c r="K3" s="10">
        <v>2</v>
      </c>
      <c r="L3" s="13">
        <v>40.079000000000001</v>
      </c>
      <c r="M3" s="13">
        <v>77.680999999999997</v>
      </c>
      <c r="N3" s="13">
        <v>37.603000000000002</v>
      </c>
      <c r="O3" s="12">
        <v>6.3515005100000002</v>
      </c>
      <c r="P3" s="11">
        <v>47.700000799999998</v>
      </c>
      <c r="Q3" s="12">
        <v>0.33450007399999998</v>
      </c>
      <c r="R3" s="12">
        <v>12.746561099999999</v>
      </c>
      <c r="S3" s="12">
        <v>77.699996900000002</v>
      </c>
      <c r="T3" s="12">
        <v>0.30135011699999997</v>
      </c>
      <c r="U3" s="10">
        <v>6.4660000799999997</v>
      </c>
      <c r="V3" s="13">
        <v>77.699996900000002</v>
      </c>
      <c r="W3" s="12">
        <v>0.26699995999999998</v>
      </c>
      <c r="X3" s="12">
        <v>15.7728596</v>
      </c>
      <c r="Y3" s="17" t="str">
        <f t="shared" si="7"/>
        <v>I</v>
      </c>
      <c r="Z3" s="17">
        <f t="shared" si="8"/>
        <v>15.772883280757149</v>
      </c>
      <c r="AA3" s="17">
        <f t="shared" si="9"/>
        <v>1.802716851234254</v>
      </c>
      <c r="AB3" s="17">
        <f t="shared" si="10"/>
        <v>1.2618972929909988</v>
      </c>
      <c r="AC3" s="17">
        <f t="shared" si="11"/>
        <v>0.84227116719242845</v>
      </c>
      <c r="AD3" s="17">
        <f t="shared" si="12"/>
        <v>0.96190513535045008</v>
      </c>
      <c r="AE3" s="17">
        <f t="shared" si="13"/>
        <v>0.81</v>
      </c>
      <c r="AF3" s="17">
        <v>6340</v>
      </c>
      <c r="AG3" s="17">
        <v>3830</v>
      </c>
      <c r="AH3" s="17">
        <f t="shared" si="14"/>
        <v>1.1702284800000001E-2</v>
      </c>
      <c r="AI3" s="17">
        <f t="shared" si="15"/>
        <v>5339.9991999999966</v>
      </c>
      <c r="AJ3" s="17">
        <f t="shared" si="16"/>
        <v>3102.3</v>
      </c>
      <c r="AK3" s="17">
        <v>1.17022848</v>
      </c>
      <c r="AL3" s="17">
        <v>59.599998499999998</v>
      </c>
      <c r="AM3" s="20" t="str">
        <f t="shared" si="17"/>
        <v>I</v>
      </c>
      <c r="AN3" s="20"/>
      <c r="AO3" s="18">
        <f t="shared" si="18"/>
        <v>0.84227116719242856</v>
      </c>
      <c r="AP3" s="10" t="str">
        <f t="shared" si="19"/>
        <v>Daño del 0-15%</v>
      </c>
      <c r="AQ3" s="19" t="str">
        <f t="shared" ca="1" si="20"/>
        <v>D:\1. Pozos\11. Noviembre\4. DT-96\images\sec_max_pen_T2.png</v>
      </c>
      <c r="AR3" s="19" t="str">
        <f t="shared" ca="1" si="21"/>
        <v>D:\1. Pozos\11. Noviembre\4. DT-96\images\sec_max_res_T2.png</v>
      </c>
      <c r="AS3" s="10" t="str">
        <f t="shared" ca="1" si="22"/>
        <v>D:\1. Pozos\11. Noviembre\4. DT-96\images\2.emf</v>
      </c>
      <c r="AT3" s="19" t="str">
        <f t="shared" ca="1" si="23"/>
        <v>D:\1. Pozos\11. Noviembre\4. DT-96\images\GraficaIntegradaT2.png</v>
      </c>
    </row>
    <row r="4" spans="1:47" x14ac:dyDescent="0.25">
      <c r="A4" s="10" t="str">
        <f t="shared" si="0"/>
        <v>Well-1</v>
      </c>
      <c r="B4" s="10" t="str">
        <f t="shared" si="1"/>
        <v>Exploratorio</v>
      </c>
      <c r="C4" s="10" t="str">
        <f t="shared" si="2"/>
        <v>Colombia</v>
      </c>
      <c r="D4" s="10" t="str">
        <f t="shared" si="3"/>
        <v>State</v>
      </c>
      <c r="E4" s="10" t="str">
        <f t="shared" si="4"/>
        <v>Ecopetrol</v>
      </c>
      <c r="F4" s="10" t="s">
        <v>246</v>
      </c>
      <c r="G4" s="16" t="str">
        <f t="shared" si="5"/>
        <v>24/5/2022</v>
      </c>
      <c r="H4" s="10">
        <v>7</v>
      </c>
      <c r="I4" s="10">
        <v>6.3659999999999997</v>
      </c>
      <c r="J4" s="10">
        <f t="shared" si="6"/>
        <v>0.31700000000000017</v>
      </c>
      <c r="K4" s="10">
        <v>3</v>
      </c>
      <c r="L4" s="13">
        <v>79.180999999999997</v>
      </c>
      <c r="M4" s="13">
        <v>116.682</v>
      </c>
      <c r="N4" s="13">
        <v>37.5</v>
      </c>
      <c r="O4" s="12">
        <v>6.3425002099999999</v>
      </c>
      <c r="P4" s="11">
        <v>79.199996900000002</v>
      </c>
      <c r="Q4" s="12">
        <v>0.33850002299999998</v>
      </c>
      <c r="R4" s="12">
        <v>9.0740308800000005</v>
      </c>
      <c r="S4" s="12">
        <v>116.699997</v>
      </c>
      <c r="T4" s="12">
        <v>0.30181646299999998</v>
      </c>
      <c r="U4" s="10">
        <v>6.4600000399999997</v>
      </c>
      <c r="V4" s="13">
        <v>102.300003</v>
      </c>
      <c r="W4" s="12">
        <v>0.269999981</v>
      </c>
      <c r="X4" s="12">
        <v>14.8264809</v>
      </c>
      <c r="Y4" s="17" t="str">
        <f t="shared" si="7"/>
        <v>I</v>
      </c>
      <c r="Z4" s="17">
        <f t="shared" si="8"/>
        <v>14.826504416403832</v>
      </c>
      <c r="AA4" s="17">
        <f t="shared" si="9"/>
        <v>1.8525790478452375</v>
      </c>
      <c r="AB4" s="17">
        <f t="shared" si="10"/>
        <v>1.3509396162873832</v>
      </c>
      <c r="AC4" s="17">
        <f t="shared" si="11"/>
        <v>0.85173495583596159</v>
      </c>
      <c r="AD4" s="17">
        <f t="shared" si="12"/>
        <v>0.95745301918563086</v>
      </c>
      <c r="AE4" s="17">
        <f t="shared" si="13"/>
        <v>0.82</v>
      </c>
      <c r="AF4" s="17">
        <v>6340</v>
      </c>
      <c r="AG4" s="17">
        <v>3830</v>
      </c>
      <c r="AH4" s="17">
        <f t="shared" si="14"/>
        <v>1.39349425E-2</v>
      </c>
      <c r="AI4" s="17">
        <f t="shared" si="15"/>
        <v>5399.9996199999969</v>
      </c>
      <c r="AJ4" s="17">
        <f t="shared" si="16"/>
        <v>3140.6</v>
      </c>
      <c r="AK4" s="17">
        <v>1.39349425</v>
      </c>
      <c r="AL4" s="17">
        <v>97.599998499999998</v>
      </c>
      <c r="AM4" s="20" t="str">
        <f t="shared" si="17"/>
        <v>I</v>
      </c>
      <c r="AN4" s="20"/>
      <c r="AO4" s="18">
        <f t="shared" si="18"/>
        <v>0.85173495583596159</v>
      </c>
      <c r="AP4" s="10" t="str">
        <f t="shared" si="19"/>
        <v>Daño del 0-15%</v>
      </c>
      <c r="AQ4" s="19" t="str">
        <f t="shared" ca="1" si="20"/>
        <v>D:\1. Pozos\11. Noviembre\4. DT-96\images\sec_max_pen_T3.png</v>
      </c>
      <c r="AR4" s="19" t="str">
        <f t="shared" ca="1" si="21"/>
        <v>D:\1. Pozos\11. Noviembre\4. DT-96\images\sec_max_res_T3.png</v>
      </c>
      <c r="AS4" s="10" t="str">
        <f t="shared" ca="1" si="22"/>
        <v>D:\1. Pozos\11. Noviembre\4. DT-96\images\3.emf</v>
      </c>
      <c r="AT4" s="19" t="str">
        <f t="shared" ca="1" si="23"/>
        <v>D:\1. Pozos\11. Noviembre\4. DT-96\images\GraficaIntegradaT3.png</v>
      </c>
    </row>
    <row r="5" spans="1:47" x14ac:dyDescent="0.25">
      <c r="A5" s="10" t="str">
        <f t="shared" si="0"/>
        <v>Well-1</v>
      </c>
      <c r="B5" s="10" t="str">
        <f t="shared" si="1"/>
        <v>Exploratorio</v>
      </c>
      <c r="C5" s="10" t="str">
        <f t="shared" si="2"/>
        <v>Colombia</v>
      </c>
      <c r="D5" s="10" t="str">
        <f t="shared" si="3"/>
        <v>State</v>
      </c>
      <c r="E5" s="10" t="str">
        <f t="shared" si="4"/>
        <v>Ecopetrol</v>
      </c>
      <c r="F5" s="10" t="s">
        <v>246</v>
      </c>
      <c r="G5" s="16" t="str">
        <f t="shared" si="5"/>
        <v>24/5/2022</v>
      </c>
      <c r="H5" s="10">
        <v>7</v>
      </c>
      <c r="I5" s="10">
        <v>6.3659999999999997</v>
      </c>
      <c r="J5" s="10">
        <f t="shared" si="6"/>
        <v>0.31700000000000017</v>
      </c>
      <c r="K5" s="10">
        <v>4</v>
      </c>
      <c r="L5" s="13">
        <v>118.182</v>
      </c>
      <c r="M5" s="13">
        <v>154.523</v>
      </c>
      <c r="N5" s="13">
        <v>36.341999999999999</v>
      </c>
      <c r="O5" s="12">
        <v>6.3360004400000003</v>
      </c>
      <c r="P5" s="11">
        <v>126.199997</v>
      </c>
      <c r="Q5" s="12">
        <v>0.34200000800000002</v>
      </c>
      <c r="R5" s="12">
        <v>6.6908283199999996</v>
      </c>
      <c r="S5" s="12">
        <v>154.300003</v>
      </c>
      <c r="T5" s="12">
        <v>0.29940032999999999</v>
      </c>
      <c r="U5" s="10">
        <v>6.4759998300000001</v>
      </c>
      <c r="V5" s="13">
        <v>144.800003</v>
      </c>
      <c r="W5" s="12">
        <v>0.26200008400000002</v>
      </c>
      <c r="X5" s="12">
        <v>17.350109100000001</v>
      </c>
      <c r="Y5" s="17" t="str">
        <f t="shared" si="7"/>
        <v>I</v>
      </c>
      <c r="Z5" s="17">
        <f t="shared" si="8"/>
        <v>17.350131230283949</v>
      </c>
      <c r="AA5" s="17">
        <f t="shared" si="9"/>
        <v>2.2095861786272097</v>
      </c>
      <c r="AB5" s="17">
        <f t="shared" si="10"/>
        <v>1.6193045592654665</v>
      </c>
      <c r="AC5" s="17">
        <f t="shared" si="11"/>
        <v>0.82649868769716051</v>
      </c>
      <c r="AD5" s="17">
        <f t="shared" si="12"/>
        <v>0.9440347720367267</v>
      </c>
      <c r="AE5" s="17">
        <f t="shared" si="13"/>
        <v>0.78</v>
      </c>
      <c r="AF5" s="17">
        <v>6340</v>
      </c>
      <c r="AG5" s="17">
        <v>3830</v>
      </c>
      <c r="AH5" s="17">
        <f t="shared" si="14"/>
        <v>1.7517429600000002E-2</v>
      </c>
      <c r="AI5" s="17">
        <f t="shared" si="15"/>
        <v>5240.0016799999976</v>
      </c>
      <c r="AJ5" s="17">
        <f t="shared" si="16"/>
        <v>2987.4</v>
      </c>
      <c r="AK5" s="17">
        <v>1.7517429600000001</v>
      </c>
      <c r="AL5" s="17">
        <v>139.60000600000001</v>
      </c>
      <c r="AM5" s="20" t="str">
        <f t="shared" si="17"/>
        <v>I</v>
      </c>
      <c r="AN5" s="20"/>
      <c r="AO5" s="18">
        <f t="shared" si="18"/>
        <v>0.82649868769716051</v>
      </c>
      <c r="AP5" s="10" t="str">
        <f t="shared" si="19"/>
        <v>Daño del 0-15%</v>
      </c>
      <c r="AQ5" s="19" t="str">
        <f t="shared" ca="1" si="20"/>
        <v>D:\1. Pozos\11. Noviembre\4. DT-96\images\sec_max_pen_T4.png</v>
      </c>
      <c r="AR5" s="19" t="str">
        <f t="shared" ca="1" si="21"/>
        <v>D:\1. Pozos\11. Noviembre\4. DT-96\images\sec_max_res_T4.png</v>
      </c>
      <c r="AS5" s="10" t="str">
        <f t="shared" ca="1" si="22"/>
        <v>D:\1. Pozos\11. Noviembre\4. DT-96\images\4.emf</v>
      </c>
      <c r="AT5" s="19" t="str">
        <f t="shared" ca="1" si="23"/>
        <v>D:\1. Pozos\11. Noviembre\4. DT-96\images\GraficaIntegradaT4.png</v>
      </c>
    </row>
    <row r="6" spans="1:47" x14ac:dyDescent="0.25">
      <c r="A6" s="10" t="str">
        <f t="shared" si="0"/>
        <v>Well-1</v>
      </c>
      <c r="B6" s="10" t="str">
        <f t="shared" si="1"/>
        <v>Exploratorio</v>
      </c>
      <c r="C6" s="10" t="str">
        <f t="shared" si="2"/>
        <v>Colombia</v>
      </c>
      <c r="D6" s="10" t="str">
        <f t="shared" si="3"/>
        <v>State</v>
      </c>
      <c r="E6" s="10" t="str">
        <f t="shared" si="4"/>
        <v>Ecopetrol</v>
      </c>
      <c r="F6" s="10" t="s">
        <v>246</v>
      </c>
      <c r="G6" s="16" t="str">
        <f t="shared" si="5"/>
        <v>24/5/2022</v>
      </c>
      <c r="H6" s="10">
        <v>7</v>
      </c>
      <c r="I6" s="10">
        <v>6.3659999999999997</v>
      </c>
      <c r="J6" s="10">
        <f t="shared" si="6"/>
        <v>0.31700000000000017</v>
      </c>
      <c r="K6" s="10">
        <v>5</v>
      </c>
      <c r="L6" s="13">
        <v>156.023</v>
      </c>
      <c r="M6" s="13">
        <v>194.10300000000001</v>
      </c>
      <c r="N6" s="13">
        <v>38.08</v>
      </c>
      <c r="O6" s="12">
        <v>6.3555002199999997</v>
      </c>
      <c r="P6" s="11">
        <v>191.39999399999999</v>
      </c>
      <c r="Q6" s="12">
        <v>0.332499981</v>
      </c>
      <c r="R6" s="12">
        <v>6.9302496900000001</v>
      </c>
      <c r="S6" s="12">
        <v>158.5</v>
      </c>
      <c r="T6" s="12">
        <v>0.29968380900000002</v>
      </c>
      <c r="U6" s="10">
        <v>6.4640002299999999</v>
      </c>
      <c r="V6" s="13">
        <v>170.800003</v>
      </c>
      <c r="W6" s="12">
        <v>0.26799988699999999</v>
      </c>
      <c r="X6" s="12">
        <v>15.4574251</v>
      </c>
      <c r="Y6" s="17" t="str">
        <f t="shared" si="7"/>
        <v>I</v>
      </c>
      <c r="Z6" s="17">
        <f t="shared" si="8"/>
        <v>15.4574488958991</v>
      </c>
      <c r="AA6" s="17">
        <f t="shared" si="9"/>
        <v>1.707182853342748</v>
      </c>
      <c r="AB6" s="17">
        <f t="shared" si="10"/>
        <v>1.2086552645890647</v>
      </c>
      <c r="AC6" s="17">
        <f t="shared" si="11"/>
        <v>0.84542551104100894</v>
      </c>
      <c r="AD6" s="17">
        <f t="shared" si="12"/>
        <v>0.96456723677054679</v>
      </c>
      <c r="AE6" s="17">
        <f t="shared" si="13"/>
        <v>0.82</v>
      </c>
      <c r="AF6" s="17">
        <v>6340</v>
      </c>
      <c r="AG6" s="17">
        <v>3830</v>
      </c>
      <c r="AH6" s="17">
        <f t="shared" si="14"/>
        <v>1.2017172599999999E-2</v>
      </c>
      <c r="AI6" s="17">
        <f t="shared" si="15"/>
        <v>5359.9977399999971</v>
      </c>
      <c r="AJ6" s="17">
        <f t="shared" si="16"/>
        <v>3140.6</v>
      </c>
      <c r="AK6" s="17">
        <v>1.2017172599999999</v>
      </c>
      <c r="AL6" s="17">
        <v>172.199997</v>
      </c>
      <c r="AM6" s="20" t="str">
        <f t="shared" si="17"/>
        <v>I</v>
      </c>
      <c r="AN6" s="20"/>
      <c r="AO6" s="18">
        <f t="shared" si="18"/>
        <v>0.84542551104100894</v>
      </c>
      <c r="AP6" s="10" t="str">
        <f t="shared" si="19"/>
        <v>Daño del 0-15%</v>
      </c>
      <c r="AQ6" s="19" t="str">
        <f t="shared" ca="1" si="20"/>
        <v>D:\1. Pozos\11. Noviembre\4. DT-96\images\sec_max_pen_T5.png</v>
      </c>
      <c r="AR6" s="19" t="str">
        <f t="shared" ca="1" si="21"/>
        <v>D:\1. Pozos\11. Noviembre\4. DT-96\images\sec_max_res_T5.png</v>
      </c>
      <c r="AS6" s="10" t="str">
        <f t="shared" ca="1" si="22"/>
        <v>D:\1. Pozos\11. Noviembre\4. DT-96\images\5.emf</v>
      </c>
      <c r="AT6" s="19" t="str">
        <f t="shared" ca="1" si="23"/>
        <v>D:\1. Pozos\11. Noviembre\4. DT-96\images\GraficaIntegradaT5.png</v>
      </c>
    </row>
    <row r="7" spans="1:47" x14ac:dyDescent="0.25">
      <c r="A7" s="10" t="str">
        <f t="shared" si="0"/>
        <v>Well-1</v>
      </c>
      <c r="B7" s="10" t="str">
        <f t="shared" si="1"/>
        <v>Exploratorio</v>
      </c>
      <c r="C7" s="10" t="str">
        <f t="shared" si="2"/>
        <v>Colombia</v>
      </c>
      <c r="D7" s="10" t="str">
        <f t="shared" si="3"/>
        <v>State</v>
      </c>
      <c r="E7" s="10" t="str">
        <f t="shared" si="4"/>
        <v>Ecopetrol</v>
      </c>
      <c r="F7" s="10" t="s">
        <v>246</v>
      </c>
      <c r="G7" s="16" t="str">
        <f t="shared" si="5"/>
        <v>24/5/2022</v>
      </c>
      <c r="H7" s="10">
        <v>7</v>
      </c>
      <c r="I7" s="10">
        <v>6.3659999999999997</v>
      </c>
      <c r="J7" s="10">
        <f t="shared" si="6"/>
        <v>0.31700000000000017</v>
      </c>
      <c r="K7" s="10">
        <v>6</v>
      </c>
      <c r="L7" s="13">
        <v>195.60300000000001</v>
      </c>
      <c r="M7" s="13">
        <v>231.173</v>
      </c>
      <c r="N7" s="13">
        <v>35.57</v>
      </c>
      <c r="O7" s="12">
        <v>6.33300018</v>
      </c>
      <c r="P7" s="11">
        <v>203.60000600000001</v>
      </c>
      <c r="Q7" s="12">
        <v>0.343499899</v>
      </c>
      <c r="R7" s="12">
        <v>6.9557118400000002</v>
      </c>
      <c r="S7" s="12">
        <v>215.60000600000001</v>
      </c>
      <c r="T7" s="12">
        <v>0.29740285900000002</v>
      </c>
      <c r="U7" s="10">
        <v>6.4840002099999996</v>
      </c>
      <c r="V7" s="13">
        <v>203.5</v>
      </c>
      <c r="W7" s="12">
        <v>0.25799989699999998</v>
      </c>
      <c r="X7" s="12">
        <v>18.611997599999999</v>
      </c>
      <c r="Y7" s="17" t="str">
        <f t="shared" si="7"/>
        <v>I</v>
      </c>
      <c r="Z7" s="17">
        <f t="shared" si="8"/>
        <v>18.612019873817083</v>
      </c>
      <c r="AA7" s="17">
        <f t="shared" si="9"/>
        <v>2.3843364236253661</v>
      </c>
      <c r="AB7" s="17">
        <f t="shared" si="10"/>
        <v>1.7621516631632028</v>
      </c>
      <c r="AC7" s="17">
        <f t="shared" si="11"/>
        <v>0.81387980126182924</v>
      </c>
      <c r="AD7" s="17">
        <f t="shared" si="12"/>
        <v>0.93689241684183988</v>
      </c>
      <c r="AE7" s="17">
        <f t="shared" si="13"/>
        <v>0.76</v>
      </c>
      <c r="AF7" s="17">
        <v>6340</v>
      </c>
      <c r="AG7" s="17">
        <v>3830</v>
      </c>
      <c r="AH7" s="17">
        <f t="shared" si="14"/>
        <v>1.8342278E-2</v>
      </c>
      <c r="AI7" s="17">
        <f t="shared" si="15"/>
        <v>5159.9979399999975</v>
      </c>
      <c r="AJ7" s="17">
        <f t="shared" si="16"/>
        <v>2910.8</v>
      </c>
      <c r="AK7" s="17">
        <v>1.8342278000000001</v>
      </c>
      <c r="AL7" s="17">
        <v>203.5</v>
      </c>
      <c r="AM7" s="20" t="str">
        <f t="shared" si="17"/>
        <v>I</v>
      </c>
      <c r="AN7" s="20"/>
      <c r="AO7" s="18">
        <f t="shared" si="18"/>
        <v>0.81387980126182913</v>
      </c>
      <c r="AP7" s="10" t="str">
        <f t="shared" si="19"/>
        <v>Daño del 0-15%</v>
      </c>
      <c r="AQ7" s="19" t="str">
        <f t="shared" ca="1" si="20"/>
        <v>D:\1. Pozos\11. Noviembre\4. DT-96\images\sec_max_pen_T6.png</v>
      </c>
      <c r="AR7" s="19" t="str">
        <f t="shared" ca="1" si="21"/>
        <v>D:\1. Pozos\11. Noviembre\4. DT-96\images\sec_max_res_T6.png</v>
      </c>
      <c r="AS7" s="10" t="str">
        <f t="shared" ca="1" si="22"/>
        <v>D:\1. Pozos\11. Noviembre\4. DT-96\images\6.emf</v>
      </c>
      <c r="AT7" s="19" t="str">
        <f t="shared" ca="1" si="23"/>
        <v>D:\1. Pozos\11. Noviembre\4. DT-96\images\GraficaIntegradaT6.png</v>
      </c>
    </row>
    <row r="8" spans="1:47" x14ac:dyDescent="0.25">
      <c r="A8" s="10" t="str">
        <f t="shared" si="0"/>
        <v>Well-1</v>
      </c>
      <c r="B8" s="10" t="str">
        <f t="shared" si="1"/>
        <v>Exploratorio</v>
      </c>
      <c r="C8" s="10" t="str">
        <f t="shared" si="2"/>
        <v>Colombia</v>
      </c>
      <c r="D8" s="10" t="str">
        <f t="shared" si="3"/>
        <v>State</v>
      </c>
      <c r="E8" s="10" t="str">
        <f t="shared" si="4"/>
        <v>Ecopetrol</v>
      </c>
      <c r="F8" s="10" t="s">
        <v>246</v>
      </c>
      <c r="G8" s="16" t="str">
        <f t="shared" si="5"/>
        <v>24/5/2022</v>
      </c>
      <c r="H8" s="10">
        <v>7</v>
      </c>
      <c r="I8" s="10">
        <v>6.3659999999999997</v>
      </c>
      <c r="J8" s="10">
        <f t="shared" si="6"/>
        <v>0.31700000000000017</v>
      </c>
      <c r="K8" s="10">
        <v>7</v>
      </c>
      <c r="L8" s="13">
        <v>232.673</v>
      </c>
      <c r="M8" s="13">
        <v>272.10399999999998</v>
      </c>
      <c r="N8" s="13">
        <v>39.430999999999997</v>
      </c>
      <c r="O8" s="12">
        <v>6.3380003</v>
      </c>
      <c r="P8" s="11">
        <v>256.39999399999999</v>
      </c>
      <c r="Q8" s="12">
        <v>0.338999987</v>
      </c>
      <c r="R8" s="12">
        <v>8.0421581300000007</v>
      </c>
      <c r="S8" s="12">
        <v>232.699997</v>
      </c>
      <c r="T8" s="12">
        <v>0.29911589599999999</v>
      </c>
      <c r="U8" s="10">
        <v>6.4739999800000003</v>
      </c>
      <c r="V8" s="13">
        <v>249.60000600000001</v>
      </c>
      <c r="W8" s="12">
        <v>0.26300001099999998</v>
      </c>
      <c r="X8" s="12">
        <v>17.034673699999999</v>
      </c>
      <c r="Y8" s="17" t="str">
        <f t="shared" si="7"/>
        <v>I</v>
      </c>
      <c r="Z8" s="17">
        <f t="shared" si="8"/>
        <v>17.03469684542592</v>
      </c>
      <c r="AA8" s="17">
        <f t="shared" si="9"/>
        <v>2.1457821641314823</v>
      </c>
      <c r="AB8" s="17">
        <f t="shared" si="10"/>
        <v>1.5759512507438789</v>
      </c>
      <c r="AC8" s="17">
        <f t="shared" si="11"/>
        <v>0.82965303154574088</v>
      </c>
      <c r="AD8" s="17">
        <f t="shared" si="12"/>
        <v>0.94620243746280608</v>
      </c>
      <c r="AE8" s="17">
        <f t="shared" si="13"/>
        <v>0.79</v>
      </c>
      <c r="AF8" s="17">
        <v>6340</v>
      </c>
      <c r="AG8" s="17">
        <v>3830</v>
      </c>
      <c r="AH8" s="17">
        <f t="shared" si="14"/>
        <v>1.7214989700000002E-2</v>
      </c>
      <c r="AI8" s="17">
        <f t="shared" si="15"/>
        <v>5260.0002199999972</v>
      </c>
      <c r="AJ8" s="17">
        <f t="shared" si="16"/>
        <v>3025.7000000000003</v>
      </c>
      <c r="AK8" s="17">
        <v>1.7214989700000001</v>
      </c>
      <c r="AL8" s="17">
        <v>249.800003</v>
      </c>
      <c r="AM8" s="20" t="str">
        <f t="shared" si="17"/>
        <v>I</v>
      </c>
      <c r="AN8" s="20"/>
      <c r="AO8" s="18">
        <f t="shared" si="18"/>
        <v>0.82965303154574088</v>
      </c>
      <c r="AP8" s="10" t="str">
        <f t="shared" si="19"/>
        <v>Daño del 0-15%</v>
      </c>
      <c r="AQ8" s="19" t="str">
        <f t="shared" ca="1" si="20"/>
        <v>D:\1. Pozos\11. Noviembre\4. DT-96\images\sec_max_pen_T7.png</v>
      </c>
      <c r="AR8" s="19" t="str">
        <f t="shared" ca="1" si="21"/>
        <v>D:\1. Pozos\11. Noviembre\4. DT-96\images\sec_max_res_T7.png</v>
      </c>
      <c r="AS8" s="10" t="str">
        <f t="shared" ca="1" si="22"/>
        <v>D:\1. Pozos\11. Noviembre\4. DT-96\images\7.emf</v>
      </c>
      <c r="AT8" s="19" t="str">
        <f t="shared" ca="1" si="23"/>
        <v>D:\1. Pozos\11. Noviembre\4. DT-96\images\GraficaIntegradaT7.png</v>
      </c>
    </row>
    <row r="9" spans="1:47" x14ac:dyDescent="0.25">
      <c r="A9" s="10" t="str">
        <f t="shared" si="0"/>
        <v>Well-1</v>
      </c>
      <c r="B9" s="10" t="str">
        <f t="shared" si="1"/>
        <v>Exploratorio</v>
      </c>
      <c r="C9" s="10" t="str">
        <f t="shared" si="2"/>
        <v>Colombia</v>
      </c>
      <c r="D9" s="10" t="str">
        <f t="shared" si="3"/>
        <v>State</v>
      </c>
      <c r="E9" s="10" t="str">
        <f t="shared" si="4"/>
        <v>Ecopetrol</v>
      </c>
      <c r="F9" s="10" t="s">
        <v>246</v>
      </c>
      <c r="G9" s="16" t="str">
        <f t="shared" si="5"/>
        <v>24/5/2022</v>
      </c>
      <c r="H9" s="10">
        <v>7</v>
      </c>
      <c r="I9" s="10">
        <v>6.3659999999999997</v>
      </c>
      <c r="J9" s="10">
        <f t="shared" si="6"/>
        <v>0.31700000000000017</v>
      </c>
      <c r="K9" s="10">
        <v>8</v>
      </c>
      <c r="L9" s="13">
        <v>273.60399999999998</v>
      </c>
      <c r="M9" s="13">
        <v>313.22800000000001</v>
      </c>
      <c r="N9" s="13">
        <v>39.624000000000002</v>
      </c>
      <c r="O9" s="12">
        <v>6.3445000599999997</v>
      </c>
      <c r="P9" s="11">
        <v>304</v>
      </c>
      <c r="Q9" s="12">
        <v>0.33649992899999998</v>
      </c>
      <c r="R9" s="12">
        <v>7.5551505099999998</v>
      </c>
      <c r="S9" s="12">
        <v>275.20001200000002</v>
      </c>
      <c r="T9" s="12">
        <v>0.29765224499999998</v>
      </c>
      <c r="U9" s="10">
        <v>6.4699997900000001</v>
      </c>
      <c r="V9" s="13">
        <v>306.70001200000002</v>
      </c>
      <c r="W9" s="12">
        <v>0.26500010499999999</v>
      </c>
      <c r="X9" s="12">
        <v>16.4037285</v>
      </c>
      <c r="Y9" s="17" t="str">
        <f t="shared" si="7"/>
        <v>I</v>
      </c>
      <c r="Z9" s="17">
        <f t="shared" si="8"/>
        <v>16.40375236593065</v>
      </c>
      <c r="AA9" s="17">
        <f t="shared" si="9"/>
        <v>1.978086985785299</v>
      </c>
      <c r="AB9" s="17">
        <f t="shared" si="10"/>
        <v>1.4634342993449456</v>
      </c>
      <c r="AC9" s="17">
        <f t="shared" si="11"/>
        <v>0.83596247634069354</v>
      </c>
      <c r="AD9" s="17">
        <f t="shared" si="12"/>
        <v>0.95182828503275274</v>
      </c>
      <c r="AE9" s="17">
        <f t="shared" si="13"/>
        <v>0.8</v>
      </c>
      <c r="AF9" s="17">
        <v>6340</v>
      </c>
      <c r="AG9" s="17">
        <v>3830</v>
      </c>
      <c r="AH9" s="17">
        <f t="shared" si="14"/>
        <v>1.5894539400000001E-2</v>
      </c>
      <c r="AI9" s="17">
        <f t="shared" si="15"/>
        <v>5300.002099999997</v>
      </c>
      <c r="AJ9" s="17">
        <f t="shared" si="16"/>
        <v>3064</v>
      </c>
      <c r="AK9" s="17">
        <v>1.5894539400000001</v>
      </c>
      <c r="AL9" s="17">
        <v>304</v>
      </c>
      <c r="AM9" s="20" t="str">
        <f t="shared" si="17"/>
        <v>I</v>
      </c>
      <c r="AN9" s="20"/>
      <c r="AO9" s="18">
        <f t="shared" si="18"/>
        <v>0.83596247634069354</v>
      </c>
      <c r="AP9" s="10" t="str">
        <f t="shared" si="19"/>
        <v>Daño del 0-15%</v>
      </c>
      <c r="AQ9" s="19" t="str">
        <f t="shared" ca="1" si="20"/>
        <v>D:\1. Pozos\11. Noviembre\4. DT-96\images\sec_max_pen_T8.png</v>
      </c>
      <c r="AR9" s="19" t="str">
        <f t="shared" ca="1" si="21"/>
        <v>D:\1. Pozos\11. Noviembre\4. DT-96\images\sec_max_res_T8.png</v>
      </c>
      <c r="AS9" s="10" t="str">
        <f t="shared" ca="1" si="22"/>
        <v>D:\1. Pozos\11. Noviembre\4. DT-96\images\8.emf</v>
      </c>
      <c r="AT9" s="19" t="str">
        <f t="shared" ca="1" si="23"/>
        <v>D:\1. Pozos\11. Noviembre\4. DT-96\images\GraficaIntegradaT8.png</v>
      </c>
    </row>
    <row r="10" spans="1:47" x14ac:dyDescent="0.25">
      <c r="A10" s="10" t="str">
        <f t="shared" si="0"/>
        <v>Well-1</v>
      </c>
      <c r="B10" s="10" t="str">
        <f t="shared" si="1"/>
        <v>Exploratorio</v>
      </c>
      <c r="C10" s="10" t="str">
        <f t="shared" si="2"/>
        <v>Colombia</v>
      </c>
      <c r="D10" s="10" t="str">
        <f t="shared" si="3"/>
        <v>State</v>
      </c>
      <c r="E10" s="10" t="str">
        <f t="shared" si="4"/>
        <v>Ecopetrol</v>
      </c>
      <c r="F10" s="10" t="s">
        <v>246</v>
      </c>
      <c r="G10" s="16" t="str">
        <f t="shared" si="5"/>
        <v>24/5/2022</v>
      </c>
      <c r="H10" s="10">
        <v>7</v>
      </c>
      <c r="I10" s="10">
        <v>6.3659999999999997</v>
      </c>
      <c r="J10" s="10">
        <f t="shared" si="6"/>
        <v>0.31700000000000017</v>
      </c>
      <c r="K10" s="10">
        <v>9</v>
      </c>
      <c r="L10" s="13">
        <v>314.72800000000001</v>
      </c>
      <c r="M10" s="13">
        <v>353.77300000000002</v>
      </c>
      <c r="N10" s="13">
        <v>39.045000000000002</v>
      </c>
      <c r="O10" s="12">
        <v>6.3400001499999998</v>
      </c>
      <c r="P10" s="11">
        <v>315</v>
      </c>
      <c r="Q10" s="12">
        <v>0.33450007399999998</v>
      </c>
      <c r="R10" s="12">
        <v>8.85115433</v>
      </c>
      <c r="S10" s="12">
        <v>353.79998799999998</v>
      </c>
      <c r="T10" s="12">
        <v>0.30120062800000003</v>
      </c>
      <c r="U10" s="10">
        <v>6.4590001099999999</v>
      </c>
      <c r="V10" s="13">
        <v>317.20001200000002</v>
      </c>
      <c r="W10" s="12">
        <v>0.27049994500000002</v>
      </c>
      <c r="X10" s="12">
        <v>14.668763200000001</v>
      </c>
      <c r="Y10" s="17" t="str">
        <f t="shared" si="7"/>
        <v>I</v>
      </c>
      <c r="Z10" s="17">
        <f t="shared" si="8"/>
        <v>14.668787066246097</v>
      </c>
      <c r="AA10" s="17">
        <f t="shared" si="9"/>
        <v>1.8769709335101581</v>
      </c>
      <c r="AB10" s="17">
        <f t="shared" si="10"/>
        <v>1.392733042758687</v>
      </c>
      <c r="AC10" s="17">
        <f t="shared" si="11"/>
        <v>0.85331212933753908</v>
      </c>
      <c r="AD10" s="17">
        <f t="shared" si="12"/>
        <v>0.95536334786206567</v>
      </c>
      <c r="AE10" s="17">
        <f t="shared" si="13"/>
        <v>0.82</v>
      </c>
      <c r="AF10" s="17">
        <v>6340</v>
      </c>
      <c r="AG10" s="17">
        <v>3830</v>
      </c>
      <c r="AH10" s="17">
        <f t="shared" si="14"/>
        <v>1.3646385700000001E-2</v>
      </c>
      <c r="AI10" s="17">
        <f t="shared" si="15"/>
        <v>5409.9988999999978</v>
      </c>
      <c r="AJ10" s="17">
        <f t="shared" si="16"/>
        <v>3140.6</v>
      </c>
      <c r="AK10" s="17">
        <v>1.3646385700000001</v>
      </c>
      <c r="AL10" s="17">
        <v>314.89999399999999</v>
      </c>
      <c r="AM10" s="20" t="str">
        <f t="shared" si="17"/>
        <v>I</v>
      </c>
      <c r="AN10" s="20"/>
      <c r="AO10" s="18">
        <f t="shared" si="18"/>
        <v>0.85331212933753908</v>
      </c>
      <c r="AP10" s="10" t="str">
        <f t="shared" si="19"/>
        <v>Daño del 0-15%</v>
      </c>
      <c r="AQ10" s="19" t="str">
        <f t="shared" ca="1" si="20"/>
        <v>D:\1. Pozos\11. Noviembre\4. DT-96\images\sec_max_pen_T9.png</v>
      </c>
      <c r="AR10" s="19" t="str">
        <f t="shared" ca="1" si="21"/>
        <v>D:\1. Pozos\11. Noviembre\4. DT-96\images\sec_max_res_T9.png</v>
      </c>
      <c r="AS10" s="10" t="str">
        <f t="shared" ca="1" si="22"/>
        <v>D:\1. Pozos\11. Noviembre\4. DT-96\images\9.emf</v>
      </c>
      <c r="AT10" s="19" t="str">
        <f t="shared" ca="1" si="23"/>
        <v>D:\1. Pozos\11. Noviembre\4. DT-96\images\GraficaIntegradaT9.png</v>
      </c>
    </row>
    <row r="11" spans="1:47" x14ac:dyDescent="0.25">
      <c r="A11" s="10" t="str">
        <f t="shared" si="0"/>
        <v>Well-1</v>
      </c>
      <c r="B11" s="10" t="str">
        <f t="shared" si="1"/>
        <v>Exploratorio</v>
      </c>
      <c r="C11" s="10" t="str">
        <f t="shared" si="2"/>
        <v>Colombia</v>
      </c>
      <c r="D11" s="10" t="str">
        <f t="shared" si="3"/>
        <v>State</v>
      </c>
      <c r="E11" s="10" t="str">
        <f t="shared" si="4"/>
        <v>Ecopetrol</v>
      </c>
      <c r="F11" s="10" t="s">
        <v>246</v>
      </c>
      <c r="G11" s="16" t="str">
        <f t="shared" si="5"/>
        <v>24/5/2022</v>
      </c>
      <c r="H11" s="10">
        <v>7</v>
      </c>
      <c r="I11" s="10">
        <v>6.3659999999999997</v>
      </c>
      <c r="J11" s="10">
        <f t="shared" si="6"/>
        <v>0.31700000000000017</v>
      </c>
      <c r="K11" s="10">
        <v>10</v>
      </c>
      <c r="L11" s="13">
        <v>355.27300000000002</v>
      </c>
      <c r="M11" s="13">
        <v>388.13900000000001</v>
      </c>
      <c r="N11" s="13">
        <v>32.866999999999997</v>
      </c>
      <c r="O11" s="12">
        <v>6.3345003100000001</v>
      </c>
      <c r="P11" s="11">
        <v>378.10000600000001</v>
      </c>
      <c r="Q11" s="12">
        <v>0.33800005900000002</v>
      </c>
      <c r="R11" s="12">
        <v>4.6959900899999996</v>
      </c>
      <c r="S11" s="12">
        <v>362.60000600000001</v>
      </c>
      <c r="T11" s="12">
        <v>0.30508923500000001</v>
      </c>
      <c r="U11" s="10">
        <v>6.4450001700000001</v>
      </c>
      <c r="V11" s="13">
        <v>375.79998799999998</v>
      </c>
      <c r="W11" s="12">
        <v>0.27749991400000001</v>
      </c>
      <c r="X11" s="12">
        <v>12.460570300000001</v>
      </c>
      <c r="Y11" s="17" t="str">
        <f t="shared" si="7"/>
        <v>I</v>
      </c>
      <c r="Z11" s="17">
        <f t="shared" si="8"/>
        <v>12.460594952681431</v>
      </c>
      <c r="AA11" s="17">
        <f t="shared" si="9"/>
        <v>1.7444132069195595</v>
      </c>
      <c r="AB11" s="17">
        <f t="shared" si="10"/>
        <v>1.308872601507538</v>
      </c>
      <c r="AC11" s="17">
        <f t="shared" si="11"/>
        <v>0.87539405047318564</v>
      </c>
      <c r="AD11" s="17">
        <f t="shared" si="12"/>
        <v>0.95955636992462312</v>
      </c>
      <c r="AE11" s="17">
        <f t="shared" si="13"/>
        <v>0.84</v>
      </c>
      <c r="AF11" s="17">
        <v>6340</v>
      </c>
      <c r="AG11" s="17">
        <v>3830</v>
      </c>
      <c r="AH11" s="17">
        <f t="shared" si="14"/>
        <v>1.24046981E-2</v>
      </c>
      <c r="AI11" s="17">
        <f t="shared" si="15"/>
        <v>5549.9982799999971</v>
      </c>
      <c r="AJ11" s="17">
        <f t="shared" si="16"/>
        <v>3217.2</v>
      </c>
      <c r="AK11" s="17">
        <v>1.24046981</v>
      </c>
      <c r="AL11" s="17">
        <v>359.70001200000002</v>
      </c>
      <c r="AM11" s="20" t="str">
        <f t="shared" si="17"/>
        <v>I</v>
      </c>
      <c r="AN11" s="20"/>
      <c r="AO11" s="18">
        <f t="shared" si="18"/>
        <v>0.87539405047318564</v>
      </c>
      <c r="AP11" s="10" t="str">
        <f t="shared" si="19"/>
        <v>Daño del 0-15%</v>
      </c>
      <c r="AQ11" s="19" t="str">
        <f t="shared" ca="1" si="20"/>
        <v>D:\1. Pozos\11. Noviembre\4. DT-96\images\sec_max_pen_T10.png</v>
      </c>
      <c r="AR11" s="19" t="str">
        <f t="shared" ca="1" si="21"/>
        <v>D:\1. Pozos\11. Noviembre\4. DT-96\images\sec_max_res_T10.png</v>
      </c>
      <c r="AS11" s="10" t="str">
        <f t="shared" ca="1" si="22"/>
        <v>D:\1. Pozos\11. Noviembre\4. DT-96\images\10.emf</v>
      </c>
      <c r="AT11" s="19" t="str">
        <f t="shared" ca="1" si="23"/>
        <v>D:\1. Pozos\11. Noviembre\4. DT-96\images\GraficaIntegradaT10.png</v>
      </c>
    </row>
    <row r="12" spans="1:47" x14ac:dyDescent="0.25">
      <c r="A12" s="10" t="str">
        <f t="shared" si="0"/>
        <v>Well-1</v>
      </c>
      <c r="B12" s="10" t="str">
        <f t="shared" si="1"/>
        <v>Exploratorio</v>
      </c>
      <c r="C12" s="10" t="str">
        <f t="shared" si="2"/>
        <v>Colombia</v>
      </c>
      <c r="D12" s="10" t="str">
        <f t="shared" si="3"/>
        <v>State</v>
      </c>
      <c r="E12" s="10" t="str">
        <f t="shared" si="4"/>
        <v>Ecopetrol</v>
      </c>
      <c r="F12" s="10" t="s">
        <v>246</v>
      </c>
      <c r="G12" s="16" t="str">
        <f t="shared" si="5"/>
        <v>24/5/2022</v>
      </c>
      <c r="H12" s="10">
        <v>7</v>
      </c>
      <c r="I12" s="10">
        <v>6.3659999999999997</v>
      </c>
      <c r="J12" s="10">
        <f t="shared" si="6"/>
        <v>0.31700000000000017</v>
      </c>
      <c r="K12" s="10">
        <v>11</v>
      </c>
      <c r="L12" s="13">
        <v>389.63900000000001</v>
      </c>
      <c r="M12" s="13">
        <v>428.10500000000002</v>
      </c>
      <c r="N12" s="13">
        <v>38.466000000000001</v>
      </c>
      <c r="O12" s="12">
        <v>6.34750032</v>
      </c>
      <c r="P12" s="11">
        <v>389.60000600000001</v>
      </c>
      <c r="Q12" s="12">
        <v>0.33550000200000002</v>
      </c>
      <c r="R12" s="12">
        <v>12.518228499999999</v>
      </c>
      <c r="S12" s="12">
        <v>428.10000600000001</v>
      </c>
      <c r="T12" s="12">
        <v>0.30185651800000002</v>
      </c>
      <c r="U12" s="10">
        <v>6.4759998300000001</v>
      </c>
      <c r="V12" s="13">
        <v>428.10000600000001</v>
      </c>
      <c r="W12" s="12">
        <v>0.26200008400000002</v>
      </c>
      <c r="X12" s="12">
        <v>17.350109100000001</v>
      </c>
      <c r="Y12" s="17" t="str">
        <f t="shared" si="7"/>
        <v>I</v>
      </c>
      <c r="Z12" s="17">
        <f t="shared" si="8"/>
        <v>17.350131230283949</v>
      </c>
      <c r="AA12" s="17">
        <f t="shared" si="9"/>
        <v>2.0244112409906867</v>
      </c>
      <c r="AB12" s="17">
        <f t="shared" si="10"/>
        <v>1.3965036869820979</v>
      </c>
      <c r="AC12" s="17">
        <f t="shared" si="11"/>
        <v>0.82649868769716051</v>
      </c>
      <c r="AD12" s="17">
        <f t="shared" si="12"/>
        <v>0.95517481565089513</v>
      </c>
      <c r="AE12" s="17">
        <f t="shared" si="13"/>
        <v>0.79</v>
      </c>
      <c r="AF12" s="17">
        <v>6340</v>
      </c>
      <c r="AG12" s="17">
        <v>3830</v>
      </c>
      <c r="AH12" s="17">
        <f t="shared" si="14"/>
        <v>1.6394076300000001E-2</v>
      </c>
      <c r="AI12" s="17">
        <f t="shared" si="15"/>
        <v>5240.0016799999976</v>
      </c>
      <c r="AJ12" s="17">
        <f t="shared" si="16"/>
        <v>3025.7000000000003</v>
      </c>
      <c r="AK12" s="17">
        <v>1.63940763</v>
      </c>
      <c r="AL12" s="17">
        <v>389.60000600000001</v>
      </c>
      <c r="AM12" s="20" t="str">
        <f t="shared" si="17"/>
        <v>I</v>
      </c>
      <c r="AN12" s="20"/>
      <c r="AO12" s="18">
        <f t="shared" si="18"/>
        <v>0.82649868769716051</v>
      </c>
      <c r="AP12" s="10" t="str">
        <f t="shared" si="19"/>
        <v>Daño del 0-15%</v>
      </c>
      <c r="AQ12" s="19" t="str">
        <f t="shared" ca="1" si="20"/>
        <v>D:\1. Pozos\11. Noviembre\4. DT-96\images\sec_max_pen_T11.png</v>
      </c>
      <c r="AR12" s="19" t="str">
        <f t="shared" ca="1" si="21"/>
        <v>D:\1. Pozos\11. Noviembre\4. DT-96\images\sec_max_res_T11.png</v>
      </c>
      <c r="AS12" s="10" t="str">
        <f t="shared" ca="1" si="22"/>
        <v>D:\1. Pozos\11. Noviembre\4. DT-96\images\11.emf</v>
      </c>
      <c r="AT12" s="19" t="str">
        <f t="shared" ca="1" si="23"/>
        <v>D:\1. Pozos\11. Noviembre\4. DT-96\images\GraficaIntegradaT11.png</v>
      </c>
    </row>
    <row r="13" spans="1:47" x14ac:dyDescent="0.25">
      <c r="A13" s="10" t="str">
        <f t="shared" si="0"/>
        <v>Well-1</v>
      </c>
      <c r="B13" s="10" t="str">
        <f t="shared" si="1"/>
        <v>Exploratorio</v>
      </c>
      <c r="C13" s="10" t="str">
        <f t="shared" si="2"/>
        <v>Colombia</v>
      </c>
      <c r="D13" s="10" t="str">
        <f t="shared" si="3"/>
        <v>State</v>
      </c>
      <c r="E13" s="10" t="str">
        <f t="shared" si="4"/>
        <v>Ecopetrol</v>
      </c>
      <c r="F13" s="10" t="s">
        <v>246</v>
      </c>
      <c r="G13" s="16" t="str">
        <f t="shared" si="5"/>
        <v>24/5/2022</v>
      </c>
      <c r="H13" s="10">
        <v>7</v>
      </c>
      <c r="I13" s="10">
        <v>6.3659999999999997</v>
      </c>
      <c r="J13" s="10">
        <f t="shared" si="6"/>
        <v>0.31700000000000017</v>
      </c>
      <c r="K13" s="10">
        <v>12</v>
      </c>
      <c r="L13" s="13">
        <v>429.60500000000002</v>
      </c>
      <c r="M13" s="13">
        <v>468.45699999999999</v>
      </c>
      <c r="N13" s="13">
        <v>38.851999999999997</v>
      </c>
      <c r="O13" s="12">
        <v>6.3535003699999999</v>
      </c>
      <c r="P13" s="11">
        <v>429.60000600000001</v>
      </c>
      <c r="Q13" s="12">
        <v>0.33299994500000002</v>
      </c>
      <c r="R13" s="12">
        <v>12.746413199999999</v>
      </c>
      <c r="S13" s="12">
        <v>468.5</v>
      </c>
      <c r="T13" s="12">
        <v>0.29850792900000001</v>
      </c>
      <c r="U13" s="10">
        <v>6.4759998300000001</v>
      </c>
      <c r="V13" s="13">
        <v>442.39999399999999</v>
      </c>
      <c r="W13" s="12">
        <v>0.26200008400000002</v>
      </c>
      <c r="X13" s="12">
        <v>17.350109100000001</v>
      </c>
      <c r="Y13" s="17" t="str">
        <f t="shared" si="7"/>
        <v>I</v>
      </c>
      <c r="Z13" s="17">
        <f t="shared" si="8"/>
        <v>17.350131230283949</v>
      </c>
      <c r="AA13" s="17">
        <f t="shared" si="9"/>
        <v>1.9280625303560006</v>
      </c>
      <c r="AB13" s="17">
        <f t="shared" si="10"/>
        <v>1.3534525850668944</v>
      </c>
      <c r="AC13" s="17">
        <f t="shared" si="11"/>
        <v>0.82649868769716051</v>
      </c>
      <c r="AD13" s="17">
        <f t="shared" si="12"/>
        <v>0.9573273707466553</v>
      </c>
      <c r="AE13" s="17">
        <f t="shared" si="13"/>
        <v>0.79</v>
      </c>
      <c r="AF13" s="17">
        <v>6340</v>
      </c>
      <c r="AG13" s="17">
        <v>3830</v>
      </c>
      <c r="AH13" s="17">
        <f t="shared" si="14"/>
        <v>1.47115445E-2</v>
      </c>
      <c r="AI13" s="17">
        <f t="shared" si="15"/>
        <v>5240.0016799999976</v>
      </c>
      <c r="AJ13" s="17">
        <f t="shared" si="16"/>
        <v>3025.7000000000003</v>
      </c>
      <c r="AK13" s="17">
        <v>1.47115445</v>
      </c>
      <c r="AL13" s="17">
        <v>429.79998799999998</v>
      </c>
      <c r="AM13" s="20" t="str">
        <f t="shared" si="17"/>
        <v>I</v>
      </c>
      <c r="AN13" s="20"/>
      <c r="AO13" s="18">
        <f t="shared" si="18"/>
        <v>0.82649868769716051</v>
      </c>
      <c r="AP13" s="10" t="str">
        <f t="shared" si="19"/>
        <v>Daño del 0-15%</v>
      </c>
      <c r="AQ13" s="19" t="str">
        <f t="shared" ca="1" si="20"/>
        <v>D:\1. Pozos\11. Noviembre\4. DT-96\images\sec_max_pen_T12.png</v>
      </c>
      <c r="AR13" s="19" t="str">
        <f t="shared" ca="1" si="21"/>
        <v>D:\1. Pozos\11. Noviembre\4. DT-96\images\sec_max_res_T12.png</v>
      </c>
      <c r="AS13" s="10" t="str">
        <f t="shared" ca="1" si="22"/>
        <v>D:\1. Pozos\11. Noviembre\4. DT-96\images\12.emf</v>
      </c>
      <c r="AT13" s="19" t="str">
        <f t="shared" ca="1" si="23"/>
        <v>D:\1. Pozos\11. Noviembre\4. DT-96\images\GraficaIntegradaT12.png</v>
      </c>
    </row>
    <row r="14" spans="1:47" x14ac:dyDescent="0.25">
      <c r="A14" s="10" t="str">
        <f t="shared" si="0"/>
        <v>Well-1</v>
      </c>
      <c r="B14" s="10" t="str">
        <f t="shared" si="1"/>
        <v>Exploratorio</v>
      </c>
      <c r="C14" s="10" t="str">
        <f t="shared" si="2"/>
        <v>Colombia</v>
      </c>
      <c r="D14" s="10" t="str">
        <f t="shared" si="3"/>
        <v>State</v>
      </c>
      <c r="E14" s="10" t="str">
        <f t="shared" si="4"/>
        <v>Ecopetrol</v>
      </c>
      <c r="F14" s="10" t="s">
        <v>246</v>
      </c>
      <c r="G14" s="16" t="str">
        <f t="shared" si="5"/>
        <v>24/5/2022</v>
      </c>
      <c r="H14" s="10">
        <v>7</v>
      </c>
      <c r="I14" s="10">
        <v>6.3659999999999997</v>
      </c>
      <c r="J14" s="10">
        <f t="shared" si="6"/>
        <v>0.31700000000000017</v>
      </c>
      <c r="K14" s="10">
        <v>13</v>
      </c>
      <c r="L14" s="13">
        <v>469.95699999999999</v>
      </c>
      <c r="M14" s="13">
        <v>508.80900000000003</v>
      </c>
      <c r="N14" s="13">
        <v>38.851999999999997</v>
      </c>
      <c r="O14" s="12">
        <v>6.3420004800000003</v>
      </c>
      <c r="P14" s="11">
        <v>470.39999399999999</v>
      </c>
      <c r="Q14" s="12">
        <v>0.335000038</v>
      </c>
      <c r="R14" s="12">
        <v>5.1490926699999999</v>
      </c>
      <c r="S14" s="12">
        <v>488.89999399999999</v>
      </c>
      <c r="T14" s="12">
        <v>0.30210685700000001</v>
      </c>
      <c r="U14" s="10">
        <v>6.4530000699999999</v>
      </c>
      <c r="V14" s="13">
        <v>493.20001200000002</v>
      </c>
      <c r="W14" s="12">
        <v>0.27349996599999998</v>
      </c>
      <c r="X14" s="12">
        <v>13.7223845</v>
      </c>
      <c r="Y14" s="17" t="str">
        <f t="shared" si="7"/>
        <v>I</v>
      </c>
      <c r="Z14" s="17">
        <f t="shared" si="8"/>
        <v>13.722408201892797</v>
      </c>
      <c r="AA14" s="17">
        <f t="shared" si="9"/>
        <v>1.7502299211431094</v>
      </c>
      <c r="AB14" s="17">
        <f t="shared" si="10"/>
        <v>1.2991594570172627</v>
      </c>
      <c r="AC14" s="17">
        <f t="shared" si="11"/>
        <v>0.86277591798107212</v>
      </c>
      <c r="AD14" s="17">
        <f t="shared" si="12"/>
        <v>0.96004202714913689</v>
      </c>
      <c r="AE14" s="17">
        <f t="shared" si="13"/>
        <v>0.83</v>
      </c>
      <c r="AF14" s="17">
        <v>6340</v>
      </c>
      <c r="AG14" s="17">
        <v>3830</v>
      </c>
      <c r="AH14" s="17">
        <f t="shared" si="14"/>
        <v>1.1310850400000001E-2</v>
      </c>
      <c r="AI14" s="17">
        <f t="shared" si="15"/>
        <v>5469.9993199999972</v>
      </c>
      <c r="AJ14" s="17">
        <f t="shared" si="16"/>
        <v>3178.8999999999996</v>
      </c>
      <c r="AK14" s="17">
        <v>1.1310850400000001</v>
      </c>
      <c r="AL14" s="17">
        <v>488.89999399999999</v>
      </c>
      <c r="AM14" s="20" t="str">
        <f t="shared" si="17"/>
        <v>I</v>
      </c>
      <c r="AN14" s="20"/>
      <c r="AO14" s="18">
        <f t="shared" si="18"/>
        <v>0.862775917981072</v>
      </c>
      <c r="AP14" s="10" t="str">
        <f t="shared" si="19"/>
        <v>Daño del 0-15%</v>
      </c>
      <c r="AQ14" s="19" t="str">
        <f t="shared" ca="1" si="20"/>
        <v>D:\1. Pozos\11. Noviembre\4. DT-96\images\sec_max_pen_T13.png</v>
      </c>
      <c r="AR14" s="19" t="str">
        <f t="shared" ca="1" si="21"/>
        <v>D:\1. Pozos\11. Noviembre\4. DT-96\images\sec_max_res_T13.png</v>
      </c>
      <c r="AS14" s="10" t="str">
        <f t="shared" ca="1" si="22"/>
        <v>D:\1. Pozos\11. Noviembre\4. DT-96\images\13.emf</v>
      </c>
      <c r="AT14" s="19" t="str">
        <f t="shared" ca="1" si="23"/>
        <v>D:\1. Pozos\11. Noviembre\4. DT-96\images\GraficaIntegradaT13.png</v>
      </c>
    </row>
    <row r="15" spans="1:47" x14ac:dyDescent="0.25">
      <c r="A15" s="10" t="str">
        <f t="shared" si="0"/>
        <v>Well-1</v>
      </c>
      <c r="B15" s="10" t="str">
        <f t="shared" si="1"/>
        <v>Exploratorio</v>
      </c>
      <c r="C15" s="10" t="str">
        <f t="shared" si="2"/>
        <v>Colombia</v>
      </c>
      <c r="D15" s="10" t="str">
        <f t="shared" si="3"/>
        <v>State</v>
      </c>
      <c r="E15" s="10" t="str">
        <f t="shared" si="4"/>
        <v>Ecopetrol</v>
      </c>
      <c r="F15" s="10" t="s">
        <v>246</v>
      </c>
      <c r="G15" s="16" t="str">
        <f t="shared" si="5"/>
        <v>24/5/2022</v>
      </c>
      <c r="H15" s="10">
        <v>7</v>
      </c>
      <c r="I15" s="10">
        <v>6.3659999999999997</v>
      </c>
      <c r="J15" s="10">
        <f t="shared" si="6"/>
        <v>0.31700000000000017</v>
      </c>
      <c r="K15" s="10">
        <v>14</v>
      </c>
      <c r="L15" s="13">
        <v>510.30900000000003</v>
      </c>
      <c r="M15" s="13">
        <v>548.94500000000005</v>
      </c>
      <c r="N15" s="13">
        <v>38.636000000000003</v>
      </c>
      <c r="O15" s="12">
        <v>6.32350016</v>
      </c>
      <c r="P15" s="11">
        <v>511.5</v>
      </c>
      <c r="Q15" s="12">
        <v>0.34750008599999999</v>
      </c>
      <c r="R15" s="12">
        <v>12.479971900000001</v>
      </c>
      <c r="S15" s="12">
        <v>510.29998799999998</v>
      </c>
      <c r="T15" s="12">
        <v>0.302001715</v>
      </c>
      <c r="U15" s="10">
        <v>6.4689998600000003</v>
      </c>
      <c r="V15" s="13">
        <v>510.29998799999998</v>
      </c>
      <c r="W15" s="12">
        <v>0.26550006900000001</v>
      </c>
      <c r="X15" s="12">
        <v>16.2460117</v>
      </c>
      <c r="Y15" s="17" t="str">
        <f t="shared" si="7"/>
        <v>I</v>
      </c>
      <c r="Z15" s="17">
        <f t="shared" si="8"/>
        <v>16.246035015772915</v>
      </c>
      <c r="AA15" s="17">
        <f t="shared" si="9"/>
        <v>2.3009361321815858</v>
      </c>
      <c r="AB15" s="17">
        <f t="shared" si="10"/>
        <v>1.7236981298661025</v>
      </c>
      <c r="AC15" s="17">
        <f t="shared" si="11"/>
        <v>0.83753964984227081</v>
      </c>
      <c r="AD15" s="17">
        <f t="shared" si="12"/>
        <v>0.9388150935066949</v>
      </c>
      <c r="AE15" s="17">
        <f t="shared" si="13"/>
        <v>0.79</v>
      </c>
      <c r="AF15" s="17">
        <v>6340</v>
      </c>
      <c r="AG15" s="17">
        <v>3830</v>
      </c>
      <c r="AH15" s="17">
        <f t="shared" si="14"/>
        <v>1.7660624999999999E-2</v>
      </c>
      <c r="AI15" s="17">
        <f t="shared" si="15"/>
        <v>5310.001379999997</v>
      </c>
      <c r="AJ15" s="17">
        <f t="shared" si="16"/>
        <v>3025.7000000000003</v>
      </c>
      <c r="AK15" s="17">
        <v>1.7660625000000001</v>
      </c>
      <c r="AL15" s="17">
        <v>511.39999399999999</v>
      </c>
      <c r="AM15" s="20" t="str">
        <f t="shared" si="17"/>
        <v>I</v>
      </c>
      <c r="AN15" s="20"/>
      <c r="AO15" s="18">
        <f t="shared" si="18"/>
        <v>0.83753964984227081</v>
      </c>
      <c r="AP15" s="10" t="str">
        <f t="shared" si="19"/>
        <v>Daño del 0-15%</v>
      </c>
      <c r="AQ15" s="19" t="str">
        <f t="shared" ca="1" si="20"/>
        <v>D:\1. Pozos\11. Noviembre\4. DT-96\images\sec_max_pen_T14.png</v>
      </c>
      <c r="AR15" s="19" t="str">
        <f t="shared" ca="1" si="21"/>
        <v>D:\1. Pozos\11. Noviembre\4. DT-96\images\sec_max_res_T14.png</v>
      </c>
      <c r="AS15" s="10" t="str">
        <f t="shared" ca="1" si="22"/>
        <v>D:\1. Pozos\11. Noviembre\4. DT-96\images\14.emf</v>
      </c>
      <c r="AT15" s="19" t="str">
        <f t="shared" ca="1" si="23"/>
        <v>D:\1. Pozos\11. Noviembre\4. DT-96\images\GraficaIntegradaT14.png</v>
      </c>
    </row>
    <row r="16" spans="1:47" x14ac:dyDescent="0.25">
      <c r="A16" s="10" t="str">
        <f t="shared" si="0"/>
        <v>Well-1</v>
      </c>
      <c r="B16" s="10" t="str">
        <f t="shared" si="1"/>
        <v>Exploratorio</v>
      </c>
      <c r="C16" s="10" t="str">
        <f t="shared" si="2"/>
        <v>Colombia</v>
      </c>
      <c r="D16" s="10" t="str">
        <f t="shared" si="3"/>
        <v>State</v>
      </c>
      <c r="E16" s="10" t="str">
        <f t="shared" si="4"/>
        <v>Ecopetrol</v>
      </c>
      <c r="F16" s="10" t="s">
        <v>246</v>
      </c>
      <c r="G16" s="16" t="str">
        <f t="shared" si="5"/>
        <v>24/5/2022</v>
      </c>
      <c r="H16" s="10">
        <v>7</v>
      </c>
      <c r="I16" s="10">
        <v>6.3659999999999997</v>
      </c>
      <c r="J16" s="10">
        <f t="shared" si="6"/>
        <v>0.31700000000000017</v>
      </c>
      <c r="K16" s="10">
        <v>15</v>
      </c>
      <c r="L16" s="13">
        <v>551.24</v>
      </c>
      <c r="M16" s="13">
        <v>589.31899999999996</v>
      </c>
      <c r="N16" s="13">
        <v>38.08</v>
      </c>
      <c r="O16" s="12">
        <v>6.34150028</v>
      </c>
      <c r="P16" s="11">
        <v>574.59997599999997</v>
      </c>
      <c r="Q16" s="12">
        <v>0.33999991400000001</v>
      </c>
      <c r="R16" s="12">
        <v>7.6437602</v>
      </c>
      <c r="S16" s="12">
        <v>553.20001200000002</v>
      </c>
      <c r="T16" s="12">
        <v>0.29636979099999999</v>
      </c>
      <c r="U16" s="10">
        <v>6.4730000499999996</v>
      </c>
      <c r="V16" s="13">
        <v>581.20001200000002</v>
      </c>
      <c r="W16" s="12">
        <v>0.263499975</v>
      </c>
      <c r="X16" s="12">
        <v>16.8769569</v>
      </c>
      <c r="Y16" s="17" t="str">
        <f t="shared" si="7"/>
        <v>I</v>
      </c>
      <c r="Z16" s="17">
        <f t="shared" si="8"/>
        <v>16.876979495268184</v>
      </c>
      <c r="AA16" s="17">
        <f t="shared" si="9"/>
        <v>2.0736381643745583</v>
      </c>
      <c r="AB16" s="17">
        <f t="shared" si="10"/>
        <v>1.5553094637724918</v>
      </c>
      <c r="AC16" s="17">
        <f t="shared" si="11"/>
        <v>0.83123020504731815</v>
      </c>
      <c r="AD16" s="17">
        <f t="shared" si="12"/>
        <v>0.94723452681137543</v>
      </c>
      <c r="AE16" s="17">
        <f t="shared" si="13"/>
        <v>0.79</v>
      </c>
      <c r="AF16" s="17">
        <v>6340</v>
      </c>
      <c r="AG16" s="17">
        <v>3830</v>
      </c>
      <c r="AH16" s="17">
        <f t="shared" si="14"/>
        <v>1.6434340499999998E-2</v>
      </c>
      <c r="AI16" s="17">
        <f t="shared" si="15"/>
        <v>5269.9994999999972</v>
      </c>
      <c r="AJ16" s="17">
        <f t="shared" si="16"/>
        <v>3025.7000000000003</v>
      </c>
      <c r="AK16" s="17">
        <v>1.64343405</v>
      </c>
      <c r="AL16" s="17">
        <v>581</v>
      </c>
      <c r="AM16" s="20" t="str">
        <f t="shared" si="17"/>
        <v>I</v>
      </c>
      <c r="AN16" s="20"/>
      <c r="AO16" s="18">
        <f t="shared" si="18"/>
        <v>0.83123020504731815</v>
      </c>
      <c r="AP16" s="10" t="str">
        <f t="shared" si="19"/>
        <v>Daño del 0-15%</v>
      </c>
      <c r="AQ16" s="19" t="str">
        <f t="shared" ca="1" si="20"/>
        <v>D:\1. Pozos\11. Noviembre\4. DT-96\images\sec_max_pen_T15.png</v>
      </c>
      <c r="AR16" s="19" t="str">
        <f t="shared" ca="1" si="21"/>
        <v>D:\1. Pozos\11. Noviembre\4. DT-96\images\sec_max_res_T15.png</v>
      </c>
      <c r="AS16" s="10" t="str">
        <f t="shared" ca="1" si="22"/>
        <v>D:\1. Pozos\11. Noviembre\4. DT-96\images\15.emf</v>
      </c>
      <c r="AT16" s="19" t="str">
        <f t="shared" ca="1" si="23"/>
        <v>D:\1. Pozos\11. Noviembre\4. DT-96\images\GraficaIntegradaT15.png</v>
      </c>
    </row>
    <row r="17" spans="1:46" x14ac:dyDescent="0.25">
      <c r="A17" s="10" t="str">
        <f t="shared" si="0"/>
        <v>Well-1</v>
      </c>
      <c r="B17" s="10" t="str">
        <f t="shared" si="1"/>
        <v>Exploratorio</v>
      </c>
      <c r="C17" s="10" t="str">
        <f t="shared" si="2"/>
        <v>Colombia</v>
      </c>
      <c r="D17" s="10" t="str">
        <f t="shared" si="3"/>
        <v>State</v>
      </c>
      <c r="E17" s="10" t="str">
        <f t="shared" si="4"/>
        <v>Ecopetrol</v>
      </c>
      <c r="F17" s="10" t="s">
        <v>246</v>
      </c>
      <c r="G17" s="16" t="str">
        <f t="shared" si="5"/>
        <v>24/5/2022</v>
      </c>
      <c r="H17" s="10">
        <v>7</v>
      </c>
      <c r="I17" s="10">
        <v>6.3659999999999997</v>
      </c>
      <c r="J17" s="10">
        <f t="shared" si="6"/>
        <v>0.31700000000000017</v>
      </c>
      <c r="K17" s="10">
        <v>16</v>
      </c>
      <c r="L17" s="13">
        <v>590.81899999999996</v>
      </c>
      <c r="M17" s="13">
        <v>627.93399999999997</v>
      </c>
      <c r="N17" s="13">
        <v>37.113999999999997</v>
      </c>
      <c r="O17" s="12">
        <v>6.34150028</v>
      </c>
      <c r="P17" s="11">
        <v>597.09997599999997</v>
      </c>
      <c r="Q17" s="12">
        <v>0.33850002299999998</v>
      </c>
      <c r="R17" s="12">
        <v>6.5000619899999998</v>
      </c>
      <c r="S17" s="12">
        <v>627.79998799999998</v>
      </c>
      <c r="T17" s="12">
        <v>0.29908347099999999</v>
      </c>
      <c r="U17" s="10">
        <v>6.4499998099999996</v>
      </c>
      <c r="V17" s="13">
        <v>605.90002400000003</v>
      </c>
      <c r="W17" s="12">
        <v>0.275000095</v>
      </c>
      <c r="X17" s="12">
        <v>13.249157</v>
      </c>
      <c r="Y17" s="17" t="str">
        <f t="shared" si="7"/>
        <v>I</v>
      </c>
      <c r="Z17" s="17">
        <f t="shared" si="8"/>
        <v>13.249181388012666</v>
      </c>
      <c r="AA17" s="17">
        <f t="shared" si="9"/>
        <v>1.710944180546492</v>
      </c>
      <c r="AB17" s="17">
        <f t="shared" si="10"/>
        <v>1.3311700744732757</v>
      </c>
      <c r="AC17" s="17">
        <f t="shared" si="11"/>
        <v>0.86750818611987346</v>
      </c>
      <c r="AD17" s="17">
        <f t="shared" si="12"/>
        <v>0.95844149627633624</v>
      </c>
      <c r="AE17" s="17">
        <f t="shared" si="13"/>
        <v>0.83</v>
      </c>
      <c r="AF17" s="17">
        <v>6340</v>
      </c>
      <c r="AG17" s="17">
        <v>3830</v>
      </c>
      <c r="AH17" s="17">
        <f t="shared" si="14"/>
        <v>1.4722590399999999E-2</v>
      </c>
      <c r="AI17" s="17">
        <f t="shared" si="15"/>
        <v>5500.0018999999975</v>
      </c>
      <c r="AJ17" s="17">
        <f t="shared" si="16"/>
        <v>3178.8999999999996</v>
      </c>
      <c r="AK17" s="17">
        <v>1.47225904</v>
      </c>
      <c r="AL17" s="17">
        <v>597</v>
      </c>
      <c r="AM17" s="20" t="str">
        <f t="shared" si="17"/>
        <v>I</v>
      </c>
      <c r="AN17" s="20"/>
      <c r="AO17" s="18">
        <f t="shared" si="18"/>
        <v>0.86750818611987346</v>
      </c>
      <c r="AP17" s="10" t="str">
        <f t="shared" si="19"/>
        <v>Daño del 0-15%</v>
      </c>
      <c r="AQ17" s="19" t="str">
        <f t="shared" ca="1" si="20"/>
        <v>D:\1. Pozos\11. Noviembre\4. DT-96\images\sec_max_pen_T16.png</v>
      </c>
      <c r="AR17" s="19" t="str">
        <f t="shared" ca="1" si="21"/>
        <v>D:\1. Pozos\11. Noviembre\4. DT-96\images\sec_max_res_T16.png</v>
      </c>
      <c r="AS17" s="10" t="str">
        <f t="shared" ca="1" si="22"/>
        <v>D:\1. Pozos\11. Noviembre\4. DT-96\images\16.emf</v>
      </c>
      <c r="AT17" s="19" t="str">
        <f t="shared" ca="1" si="23"/>
        <v>D:\1. Pozos\11. Noviembre\4. DT-96\images\GraficaIntegradaT16.png</v>
      </c>
    </row>
    <row r="18" spans="1:46" x14ac:dyDescent="0.25">
      <c r="A18" s="10" t="str">
        <f t="shared" si="0"/>
        <v>Well-1</v>
      </c>
      <c r="B18" s="10" t="str">
        <f t="shared" si="1"/>
        <v>Exploratorio</v>
      </c>
      <c r="C18" s="10" t="str">
        <f t="shared" si="2"/>
        <v>Colombia</v>
      </c>
      <c r="D18" s="10" t="str">
        <f t="shared" si="3"/>
        <v>State</v>
      </c>
      <c r="E18" s="10" t="str">
        <f t="shared" si="4"/>
        <v>Ecopetrol</v>
      </c>
      <c r="F18" s="10" t="s">
        <v>246</v>
      </c>
      <c r="G18" s="16" t="str">
        <f t="shared" si="5"/>
        <v>24/5/2022</v>
      </c>
      <c r="H18" s="10">
        <v>7</v>
      </c>
      <c r="I18" s="10">
        <v>6.3659999999999997</v>
      </c>
      <c r="J18" s="10">
        <f t="shared" si="6"/>
        <v>0.31700000000000017</v>
      </c>
      <c r="K18" s="10">
        <v>17</v>
      </c>
      <c r="L18" s="13">
        <v>629.43399999999997</v>
      </c>
      <c r="M18" s="13">
        <v>665.38900000000001</v>
      </c>
      <c r="N18" s="13">
        <v>35.956000000000003</v>
      </c>
      <c r="O18" s="12">
        <v>6.3370003700000002</v>
      </c>
      <c r="P18" s="11">
        <v>655.70001200000002</v>
      </c>
      <c r="Q18" s="12">
        <v>0.338999987</v>
      </c>
      <c r="R18" s="12">
        <v>7.3304548299999999</v>
      </c>
      <c r="S18" s="12">
        <v>629.5</v>
      </c>
      <c r="T18" s="12">
        <v>0.29847884200000002</v>
      </c>
      <c r="U18" s="10">
        <v>6.4730000499999996</v>
      </c>
      <c r="V18" s="13">
        <v>640.90002400000003</v>
      </c>
      <c r="W18" s="12">
        <v>0.263499975</v>
      </c>
      <c r="X18" s="12">
        <v>16.8769569</v>
      </c>
      <c r="Y18" s="17" t="str">
        <f t="shared" si="7"/>
        <v>I</v>
      </c>
      <c r="Z18" s="17">
        <f t="shared" si="8"/>
        <v>16.876979495268184</v>
      </c>
      <c r="AA18" s="17">
        <f t="shared" si="9"/>
        <v>2.1461207520806713</v>
      </c>
      <c r="AB18" s="17">
        <f t="shared" si="10"/>
        <v>1.5941424507128321</v>
      </c>
      <c r="AC18" s="17">
        <f t="shared" si="11"/>
        <v>0.83123020504731815</v>
      </c>
      <c r="AD18" s="17">
        <f t="shared" si="12"/>
        <v>0.94529287746435842</v>
      </c>
      <c r="AE18" s="17">
        <f t="shared" si="13"/>
        <v>0.79</v>
      </c>
      <c r="AF18" s="17">
        <v>6340</v>
      </c>
      <c r="AG18" s="17">
        <v>3830</v>
      </c>
      <c r="AH18" s="17">
        <f t="shared" si="14"/>
        <v>1.67373681E-2</v>
      </c>
      <c r="AI18" s="17">
        <f t="shared" si="15"/>
        <v>5269.9994999999972</v>
      </c>
      <c r="AJ18" s="17">
        <f t="shared" si="16"/>
        <v>3025.7000000000003</v>
      </c>
      <c r="AK18" s="17">
        <v>1.6737368100000001</v>
      </c>
      <c r="AL18" s="17">
        <v>641.40002400000003</v>
      </c>
      <c r="AM18" s="20" t="str">
        <f t="shared" si="17"/>
        <v>I</v>
      </c>
      <c r="AN18" s="20"/>
      <c r="AO18" s="18">
        <f t="shared" si="18"/>
        <v>0.83123020504731815</v>
      </c>
      <c r="AP18" s="10" t="str">
        <f t="shared" si="19"/>
        <v>Daño del 0-15%</v>
      </c>
      <c r="AQ18" s="19" t="str">
        <f t="shared" ca="1" si="20"/>
        <v>D:\1. Pozos\11. Noviembre\4. DT-96\images\sec_max_pen_T17.png</v>
      </c>
      <c r="AR18" s="19" t="str">
        <f t="shared" ca="1" si="21"/>
        <v>D:\1. Pozos\11. Noviembre\4. DT-96\images\sec_max_res_T17.png</v>
      </c>
      <c r="AS18" s="10" t="str">
        <f t="shared" ca="1" si="22"/>
        <v>D:\1. Pozos\11. Noviembre\4. DT-96\images\17.emf</v>
      </c>
      <c r="AT18" s="19" t="str">
        <f t="shared" ca="1" si="23"/>
        <v>D:\1. Pozos\11. Noviembre\4. DT-96\images\GraficaIntegradaT17.png</v>
      </c>
    </row>
    <row r="19" spans="1:46" x14ac:dyDescent="0.25">
      <c r="A19" s="10" t="str">
        <f t="shared" si="0"/>
        <v>Well-1</v>
      </c>
      <c r="B19" s="10" t="str">
        <f t="shared" si="1"/>
        <v>Exploratorio</v>
      </c>
      <c r="C19" s="10" t="str">
        <f t="shared" si="2"/>
        <v>Colombia</v>
      </c>
      <c r="D19" s="10" t="str">
        <f t="shared" si="3"/>
        <v>State</v>
      </c>
      <c r="E19" s="10" t="str">
        <f t="shared" si="4"/>
        <v>Ecopetrol</v>
      </c>
      <c r="F19" s="10" t="s">
        <v>246</v>
      </c>
      <c r="G19" s="16" t="str">
        <f t="shared" si="5"/>
        <v>24/5/2022</v>
      </c>
      <c r="H19" s="10">
        <v>7</v>
      </c>
      <c r="I19" s="10">
        <v>6.3659999999999997</v>
      </c>
      <c r="J19" s="10">
        <f t="shared" si="6"/>
        <v>0.31700000000000017</v>
      </c>
      <c r="K19" s="10">
        <v>18</v>
      </c>
      <c r="L19" s="13">
        <v>666.88900000000001</v>
      </c>
      <c r="M19" s="13">
        <v>704.58299999999997</v>
      </c>
      <c r="N19" s="13">
        <v>37.692999999999998</v>
      </c>
      <c r="O19" s="12">
        <v>6.3420004800000003</v>
      </c>
      <c r="P19" s="11">
        <v>689.5</v>
      </c>
      <c r="Q19" s="12">
        <v>0.338999987</v>
      </c>
      <c r="R19" s="12">
        <v>7.6337566399999996</v>
      </c>
      <c r="S19" s="12">
        <v>669.59997599999997</v>
      </c>
      <c r="T19" s="12">
        <v>0.29691982300000003</v>
      </c>
      <c r="U19" s="10">
        <v>6.4869999900000002</v>
      </c>
      <c r="V19" s="13">
        <v>699.90002400000003</v>
      </c>
      <c r="W19" s="12">
        <v>0.256500006</v>
      </c>
      <c r="X19" s="12">
        <v>19.0851498</v>
      </c>
      <c r="Y19" s="17" t="str">
        <f t="shared" si="7"/>
        <v>I</v>
      </c>
      <c r="Z19" s="17">
        <f t="shared" si="8"/>
        <v>19.085171608832852</v>
      </c>
      <c r="AA19" s="17">
        <f t="shared" si="9"/>
        <v>2.28633710226398</v>
      </c>
      <c r="AB19" s="17">
        <f t="shared" si="10"/>
        <v>1.6490016569661314</v>
      </c>
      <c r="AC19" s="17">
        <f t="shared" si="11"/>
        <v>0.80914828391167148</v>
      </c>
      <c r="AD19" s="17">
        <f t="shared" si="12"/>
        <v>0.94254991715169345</v>
      </c>
      <c r="AE19" s="17">
        <f t="shared" si="13"/>
        <v>0.76</v>
      </c>
      <c r="AF19" s="17">
        <v>6340</v>
      </c>
      <c r="AG19" s="17">
        <v>3830</v>
      </c>
      <c r="AH19" s="17">
        <f t="shared" si="14"/>
        <v>1.82794285E-2</v>
      </c>
      <c r="AI19" s="17">
        <f t="shared" si="15"/>
        <v>5130.000119999997</v>
      </c>
      <c r="AJ19" s="17">
        <f t="shared" si="16"/>
        <v>2910.8</v>
      </c>
      <c r="AK19" s="17">
        <v>1.8279428499999999</v>
      </c>
      <c r="AL19" s="17">
        <v>699.90002400000003</v>
      </c>
      <c r="AM19" s="20" t="str">
        <f t="shared" si="17"/>
        <v>I</v>
      </c>
      <c r="AN19" s="20"/>
      <c r="AO19" s="18">
        <f t="shared" si="18"/>
        <v>0.80914828391167148</v>
      </c>
      <c r="AP19" s="10" t="str">
        <f t="shared" si="19"/>
        <v>Daño del 0-15%</v>
      </c>
      <c r="AQ19" s="19" t="str">
        <f t="shared" ca="1" si="20"/>
        <v>D:\1. Pozos\11. Noviembre\4. DT-96\images\sec_max_pen_T18.png</v>
      </c>
      <c r="AR19" s="19" t="str">
        <f t="shared" ca="1" si="21"/>
        <v>D:\1. Pozos\11. Noviembre\4. DT-96\images\sec_max_res_T18.png</v>
      </c>
      <c r="AS19" s="10" t="str">
        <f t="shared" ca="1" si="22"/>
        <v>D:\1. Pozos\11. Noviembre\4. DT-96\images\18.emf</v>
      </c>
      <c r="AT19" s="19" t="str">
        <f t="shared" ca="1" si="23"/>
        <v>D:\1. Pozos\11. Noviembre\4. DT-96\images\GraficaIntegradaT18.png</v>
      </c>
    </row>
    <row r="20" spans="1:46" x14ac:dyDescent="0.25">
      <c r="A20" s="10" t="str">
        <f t="shared" si="0"/>
        <v>Well-1</v>
      </c>
      <c r="B20" s="10" t="str">
        <f t="shared" si="1"/>
        <v>Exploratorio</v>
      </c>
      <c r="C20" s="10" t="str">
        <f t="shared" si="2"/>
        <v>Colombia</v>
      </c>
      <c r="D20" s="10" t="str">
        <f t="shared" si="3"/>
        <v>State</v>
      </c>
      <c r="E20" s="10" t="str">
        <f t="shared" si="4"/>
        <v>Ecopetrol</v>
      </c>
      <c r="F20" s="10" t="s">
        <v>246</v>
      </c>
      <c r="G20" s="16" t="str">
        <f t="shared" si="5"/>
        <v>24/5/2022</v>
      </c>
      <c r="H20" s="10">
        <v>7</v>
      </c>
      <c r="I20" s="10">
        <v>6.3659999999999997</v>
      </c>
      <c r="J20" s="10">
        <f t="shared" si="6"/>
        <v>0.31700000000000017</v>
      </c>
      <c r="K20" s="10">
        <v>19</v>
      </c>
      <c r="L20" s="13">
        <v>706.08299999999997</v>
      </c>
      <c r="M20" s="13">
        <v>744.71900000000005</v>
      </c>
      <c r="N20" s="13">
        <v>38.636000000000003</v>
      </c>
      <c r="O20" s="12">
        <v>6.3350005100000004</v>
      </c>
      <c r="P20" s="11">
        <v>728.79998799999998</v>
      </c>
      <c r="Q20" s="12">
        <v>0.338999987</v>
      </c>
      <c r="R20" s="12">
        <v>8.90632439</v>
      </c>
      <c r="S20" s="12">
        <v>706.09997599999997</v>
      </c>
      <c r="T20" s="12">
        <v>0.297194242</v>
      </c>
      <c r="U20" s="10">
        <v>6.4790000900000004</v>
      </c>
      <c r="V20" s="13">
        <v>729.20001200000002</v>
      </c>
      <c r="W20" s="12">
        <v>0.26049995399999998</v>
      </c>
      <c r="X20" s="12">
        <v>17.8233356</v>
      </c>
      <c r="Y20" s="17" t="str">
        <f t="shared" si="7"/>
        <v>I</v>
      </c>
      <c r="Z20" s="17">
        <f t="shared" si="8"/>
        <v>17.823358359621501</v>
      </c>
      <c r="AA20" s="17">
        <f t="shared" si="9"/>
        <v>2.2730792171633096</v>
      </c>
      <c r="AB20" s="17">
        <f t="shared" si="10"/>
        <v>1.6938481982853082</v>
      </c>
      <c r="AC20" s="17">
        <f t="shared" si="11"/>
        <v>0.821766416403785</v>
      </c>
      <c r="AD20" s="17">
        <f t="shared" si="12"/>
        <v>0.94030759008573461</v>
      </c>
      <c r="AE20" s="17">
        <f t="shared" si="13"/>
        <v>0.77</v>
      </c>
      <c r="AF20" s="17">
        <v>6340</v>
      </c>
      <c r="AG20" s="17">
        <v>3830</v>
      </c>
      <c r="AH20" s="17">
        <f t="shared" si="14"/>
        <v>1.9260941699999999E-2</v>
      </c>
      <c r="AI20" s="17">
        <f t="shared" si="15"/>
        <v>5209.9990799999969</v>
      </c>
      <c r="AJ20" s="17">
        <f t="shared" si="16"/>
        <v>2949.1</v>
      </c>
      <c r="AK20" s="17">
        <v>1.92609417</v>
      </c>
      <c r="AL20" s="17">
        <v>729</v>
      </c>
      <c r="AM20" s="20" t="str">
        <f t="shared" si="17"/>
        <v>I</v>
      </c>
      <c r="AN20" s="20"/>
      <c r="AO20" s="18">
        <f t="shared" si="18"/>
        <v>0.82176641640378489</v>
      </c>
      <c r="AP20" s="10" t="str">
        <f t="shared" si="19"/>
        <v>Daño del 0-15%</v>
      </c>
      <c r="AQ20" s="19" t="str">
        <f t="shared" ca="1" si="20"/>
        <v>D:\1. Pozos\11. Noviembre\4. DT-96\images\sec_max_pen_T19.png</v>
      </c>
      <c r="AR20" s="19" t="str">
        <f t="shared" ca="1" si="21"/>
        <v>D:\1. Pozos\11. Noviembre\4. DT-96\images\sec_max_res_T19.png</v>
      </c>
      <c r="AS20" s="10" t="str">
        <f t="shared" ca="1" si="22"/>
        <v>D:\1. Pozos\11. Noviembre\4. DT-96\images\19.emf</v>
      </c>
      <c r="AT20" s="19" t="str">
        <f t="shared" ca="1" si="23"/>
        <v>D:\1. Pozos\11. Noviembre\4. DT-96\images\GraficaIntegradaT19.png</v>
      </c>
    </row>
    <row r="21" spans="1:46" x14ac:dyDescent="0.25">
      <c r="A21" s="10" t="str">
        <f t="shared" si="0"/>
        <v>Well-1</v>
      </c>
      <c r="B21" s="10" t="str">
        <f t="shared" si="1"/>
        <v>Exploratorio</v>
      </c>
      <c r="C21" s="10" t="str">
        <f t="shared" si="2"/>
        <v>Colombia</v>
      </c>
      <c r="D21" s="10" t="str">
        <f t="shared" si="3"/>
        <v>State</v>
      </c>
      <c r="E21" s="10" t="str">
        <f t="shared" si="4"/>
        <v>Ecopetrol</v>
      </c>
      <c r="F21" s="10" t="s">
        <v>246</v>
      </c>
      <c r="G21" s="16" t="str">
        <f t="shared" si="5"/>
        <v>24/5/2022</v>
      </c>
      <c r="H21" s="10">
        <v>7</v>
      </c>
      <c r="I21" s="10">
        <v>6.3659999999999997</v>
      </c>
      <c r="J21" s="10">
        <f t="shared" si="6"/>
        <v>0.31700000000000017</v>
      </c>
      <c r="K21" s="10">
        <v>20</v>
      </c>
      <c r="L21" s="13">
        <v>746.62800000000004</v>
      </c>
      <c r="M21" s="13">
        <v>783.35599999999999</v>
      </c>
      <c r="N21" s="13">
        <v>36.728000000000002</v>
      </c>
      <c r="O21" s="12">
        <v>6.3345003100000001</v>
      </c>
      <c r="P21" s="11">
        <v>767.90002400000003</v>
      </c>
      <c r="Q21" s="12">
        <v>0.34249997100000001</v>
      </c>
      <c r="R21" s="12">
        <v>12.0060606</v>
      </c>
      <c r="S21" s="12">
        <v>783.29998799999998</v>
      </c>
      <c r="T21" s="12">
        <v>0.28610277200000001</v>
      </c>
      <c r="U21" s="10">
        <v>6.5069999699999999</v>
      </c>
      <c r="V21" s="13">
        <v>775.5</v>
      </c>
      <c r="W21" s="12">
        <v>0.24650001499999999</v>
      </c>
      <c r="X21" s="12">
        <v>22.239721299999999</v>
      </c>
      <c r="Y21" s="17" t="str">
        <f t="shared" si="7"/>
        <v>II</v>
      </c>
      <c r="Z21" s="17">
        <f t="shared" si="8"/>
        <v>22.239742902208249</v>
      </c>
      <c r="AA21" s="17">
        <f t="shared" si="9"/>
        <v>2.7231770709314151</v>
      </c>
      <c r="AB21" s="17">
        <f t="shared" si="10"/>
        <v>2.0979855789130086</v>
      </c>
      <c r="AC21" s="17">
        <f t="shared" si="11"/>
        <v>0.77760257097791752</v>
      </c>
      <c r="AD21" s="17">
        <f t="shared" si="12"/>
        <v>0.92010072105434959</v>
      </c>
      <c r="AE21" s="17">
        <f t="shared" si="13"/>
        <v>0.72</v>
      </c>
      <c r="AF21" s="17">
        <v>6340</v>
      </c>
      <c r="AG21" s="17">
        <v>3830</v>
      </c>
      <c r="AH21" s="17">
        <f t="shared" si="14"/>
        <v>2.5337195399999998E-2</v>
      </c>
      <c r="AI21" s="17">
        <f t="shared" si="15"/>
        <v>4930.000299999997</v>
      </c>
      <c r="AJ21" s="17">
        <f t="shared" si="16"/>
        <v>2757.6</v>
      </c>
      <c r="AK21" s="17">
        <v>2.5337195399999999</v>
      </c>
      <c r="AL21" s="17">
        <v>767.79998799999998</v>
      </c>
      <c r="AM21" s="20" t="str">
        <f t="shared" si="17"/>
        <v>II</v>
      </c>
      <c r="AN21" s="20"/>
      <c r="AO21" s="18">
        <f t="shared" si="18"/>
        <v>0.77760257097791752</v>
      </c>
      <c r="AP21" s="10" t="str">
        <f t="shared" si="19"/>
        <v>Daño del 15-25%</v>
      </c>
      <c r="AQ21" s="19" t="str">
        <f t="shared" ca="1" si="20"/>
        <v>D:\1. Pozos\11. Noviembre\4. DT-96\images\sec_max_pen_T20.png</v>
      </c>
      <c r="AR21" s="19" t="str">
        <f t="shared" ca="1" si="21"/>
        <v>D:\1. Pozos\11. Noviembre\4. DT-96\images\sec_max_res_T20.png</v>
      </c>
      <c r="AS21" s="10" t="str">
        <f t="shared" ca="1" si="22"/>
        <v>D:\1. Pozos\11. Noviembre\4. DT-96\images\20.emf</v>
      </c>
      <c r="AT21" s="19" t="str">
        <f t="shared" ca="1" si="23"/>
        <v>D:\1. Pozos\11. Noviembre\4. DT-96\images\GraficaIntegradaT20.png</v>
      </c>
    </row>
    <row r="22" spans="1:46" x14ac:dyDescent="0.25">
      <c r="A22" s="10" t="str">
        <f t="shared" si="0"/>
        <v>Well-1</v>
      </c>
      <c r="B22" s="10" t="str">
        <f t="shared" si="1"/>
        <v>Exploratorio</v>
      </c>
      <c r="C22" s="10" t="str">
        <f t="shared" si="2"/>
        <v>Colombia</v>
      </c>
      <c r="D22" s="10" t="str">
        <f t="shared" si="3"/>
        <v>State</v>
      </c>
      <c r="E22" s="10" t="str">
        <f t="shared" si="4"/>
        <v>Ecopetrol</v>
      </c>
      <c r="F22" s="10" t="s">
        <v>246</v>
      </c>
      <c r="G22" s="16" t="str">
        <f t="shared" si="5"/>
        <v>24/5/2022</v>
      </c>
      <c r="H22" s="10">
        <v>7</v>
      </c>
      <c r="I22" s="10">
        <v>6.3659999999999997</v>
      </c>
      <c r="J22" s="10">
        <f t="shared" si="6"/>
        <v>0.31700000000000017</v>
      </c>
      <c r="K22" s="10">
        <v>21</v>
      </c>
      <c r="L22" s="13">
        <v>784.85599999999999</v>
      </c>
      <c r="M22" s="13">
        <v>823.12800000000004</v>
      </c>
      <c r="N22" s="13">
        <v>38.273000000000003</v>
      </c>
      <c r="O22" s="12">
        <v>6.33200026</v>
      </c>
      <c r="P22" s="11">
        <v>801.59997599999997</v>
      </c>
      <c r="Q22" s="12">
        <v>0.34649992000000002</v>
      </c>
      <c r="R22" s="12">
        <v>7.8595943500000001</v>
      </c>
      <c r="S22" s="12">
        <v>786.29998799999998</v>
      </c>
      <c r="T22" s="12">
        <v>0.29819989200000002</v>
      </c>
      <c r="U22" s="10">
        <v>6.4910001800000003</v>
      </c>
      <c r="V22" s="13">
        <v>801.90002400000003</v>
      </c>
      <c r="W22" s="12">
        <v>0.25449991199999999</v>
      </c>
      <c r="X22" s="12">
        <v>19.716093099999998</v>
      </c>
      <c r="Y22" s="17" t="str">
        <f t="shared" si="7"/>
        <v>I</v>
      </c>
      <c r="Z22" s="17">
        <f t="shared" si="8"/>
        <v>19.716116088328121</v>
      </c>
      <c r="AA22" s="17">
        <f t="shared" si="9"/>
        <v>2.5110535924077748</v>
      </c>
      <c r="AB22" s="17">
        <f t="shared" si="10"/>
        <v>1.820908642855934</v>
      </c>
      <c r="AC22" s="17">
        <f t="shared" si="11"/>
        <v>0.80283883911671883</v>
      </c>
      <c r="AD22" s="17">
        <f t="shared" si="12"/>
        <v>0.93395456785720332</v>
      </c>
      <c r="AE22" s="17">
        <f t="shared" si="13"/>
        <v>0.75</v>
      </c>
      <c r="AF22" s="17">
        <v>6340</v>
      </c>
      <c r="AG22" s="17">
        <v>3830</v>
      </c>
      <c r="AH22" s="17">
        <f t="shared" si="14"/>
        <v>2.0319821799999999E-2</v>
      </c>
      <c r="AI22" s="17">
        <f t="shared" si="15"/>
        <v>5089.9982399999972</v>
      </c>
      <c r="AJ22" s="17">
        <f t="shared" si="16"/>
        <v>2872.5</v>
      </c>
      <c r="AK22" s="17">
        <v>2.03198218</v>
      </c>
      <c r="AL22" s="17">
        <v>801.70001200000002</v>
      </c>
      <c r="AM22" s="20" t="str">
        <f t="shared" si="17"/>
        <v>II</v>
      </c>
      <c r="AN22" s="20"/>
      <c r="AO22" s="18">
        <f t="shared" si="18"/>
        <v>0.80283883911671883</v>
      </c>
      <c r="AP22" s="10" t="str">
        <f t="shared" si="19"/>
        <v>Daño del 0-15%</v>
      </c>
      <c r="AQ22" s="19" t="str">
        <f t="shared" ca="1" si="20"/>
        <v>D:\1. Pozos\11. Noviembre\4. DT-96\images\sec_max_pen_T21.png</v>
      </c>
      <c r="AR22" s="19" t="str">
        <f t="shared" ca="1" si="21"/>
        <v>D:\1. Pozos\11. Noviembre\4. DT-96\images\sec_max_res_T21.png</v>
      </c>
      <c r="AS22" s="10" t="str">
        <f t="shared" ca="1" si="22"/>
        <v>D:\1. Pozos\11. Noviembre\4. DT-96\images\21.emf</v>
      </c>
      <c r="AT22" s="19" t="str">
        <f t="shared" ca="1" si="23"/>
        <v>D:\1. Pozos\11. Noviembre\4. DT-96\images\GraficaIntegradaT21.png</v>
      </c>
    </row>
    <row r="23" spans="1:46" x14ac:dyDescent="0.25">
      <c r="A23" s="10" t="str">
        <f t="shared" si="0"/>
        <v>Well-1</v>
      </c>
      <c r="B23" s="10" t="str">
        <f t="shared" si="1"/>
        <v>Exploratorio</v>
      </c>
      <c r="C23" s="10" t="str">
        <f t="shared" si="2"/>
        <v>Colombia</v>
      </c>
      <c r="D23" s="10" t="str">
        <f t="shared" si="3"/>
        <v>State</v>
      </c>
      <c r="E23" s="10" t="str">
        <f t="shared" si="4"/>
        <v>Ecopetrol</v>
      </c>
      <c r="F23" s="10" t="s">
        <v>246</v>
      </c>
      <c r="G23" s="16" t="str">
        <f t="shared" si="5"/>
        <v>24/5/2022</v>
      </c>
      <c r="H23" s="10">
        <v>7</v>
      </c>
      <c r="I23" s="10">
        <v>6.3659999999999997</v>
      </c>
      <c r="J23" s="10">
        <f t="shared" si="6"/>
        <v>0.31700000000000017</v>
      </c>
      <c r="K23" s="10">
        <v>22</v>
      </c>
      <c r="L23" s="13">
        <v>824.62800000000004</v>
      </c>
      <c r="M23" s="13">
        <v>864.63900000000001</v>
      </c>
      <c r="N23" s="13">
        <v>40.01</v>
      </c>
      <c r="O23" s="12">
        <v>6.3255004899999996</v>
      </c>
      <c r="P23" s="11">
        <v>836</v>
      </c>
      <c r="Q23" s="12">
        <v>0.34100007999999998</v>
      </c>
      <c r="R23" s="12">
        <v>7.74947214</v>
      </c>
      <c r="S23" s="12">
        <v>862.79998799999998</v>
      </c>
      <c r="T23" s="12">
        <v>0.29732060399999999</v>
      </c>
      <c r="U23" s="10">
        <v>6.4780001599999997</v>
      </c>
      <c r="V23" s="13">
        <v>846.70001200000002</v>
      </c>
      <c r="W23" s="12">
        <v>0.260999918</v>
      </c>
      <c r="X23" s="12">
        <v>17.665618899999998</v>
      </c>
      <c r="Y23" s="17" t="str">
        <f t="shared" si="7"/>
        <v>I</v>
      </c>
      <c r="Z23" s="17">
        <f t="shared" si="8"/>
        <v>17.665641009463766</v>
      </c>
      <c r="AA23" s="17">
        <f t="shared" si="9"/>
        <v>2.4108712068094507</v>
      </c>
      <c r="AB23" s="17">
        <f t="shared" si="10"/>
        <v>1.836676547313032</v>
      </c>
      <c r="AC23" s="17">
        <f t="shared" si="11"/>
        <v>0.82334358990536227</v>
      </c>
      <c r="AD23" s="17">
        <f t="shared" si="12"/>
        <v>0.93316617263434842</v>
      </c>
      <c r="AE23" s="17">
        <f t="shared" si="13"/>
        <v>0.77</v>
      </c>
      <c r="AF23" s="17">
        <v>6340</v>
      </c>
      <c r="AG23" s="17">
        <v>3830</v>
      </c>
      <c r="AH23" s="17">
        <f t="shared" si="14"/>
        <v>1.7898494000000001E-2</v>
      </c>
      <c r="AI23" s="17">
        <f t="shared" si="15"/>
        <v>5219.9983599999969</v>
      </c>
      <c r="AJ23" s="17">
        <f t="shared" si="16"/>
        <v>2949.1</v>
      </c>
      <c r="AK23" s="17">
        <v>1.7898494</v>
      </c>
      <c r="AL23" s="17">
        <v>835.90002400000003</v>
      </c>
      <c r="AM23" s="20" t="str">
        <f t="shared" si="17"/>
        <v>I</v>
      </c>
      <c r="AN23" s="20"/>
      <c r="AO23" s="18">
        <f t="shared" si="18"/>
        <v>0.82334358990536227</v>
      </c>
      <c r="AP23" s="10" t="str">
        <f t="shared" si="19"/>
        <v>Daño del 0-15%</v>
      </c>
      <c r="AQ23" s="19" t="str">
        <f t="shared" ca="1" si="20"/>
        <v>D:\1. Pozos\11. Noviembre\4. DT-96\images\sec_max_pen_T22.png</v>
      </c>
      <c r="AR23" s="19" t="str">
        <f t="shared" ca="1" si="21"/>
        <v>D:\1. Pozos\11. Noviembre\4. DT-96\images\sec_max_res_T22.png</v>
      </c>
      <c r="AS23" s="10" t="str">
        <f t="shared" ca="1" si="22"/>
        <v>D:\1. Pozos\11. Noviembre\4. DT-96\images\22.emf</v>
      </c>
      <c r="AT23" s="19" t="str">
        <f t="shared" ca="1" si="23"/>
        <v>D:\1. Pozos\11. Noviembre\4. DT-96\images\GraficaIntegradaT22.png</v>
      </c>
    </row>
    <row r="24" spans="1:46" x14ac:dyDescent="0.25">
      <c r="A24" s="10" t="str">
        <f t="shared" si="0"/>
        <v>Well-1</v>
      </c>
      <c r="B24" s="10" t="str">
        <f t="shared" si="1"/>
        <v>Exploratorio</v>
      </c>
      <c r="C24" s="10" t="str">
        <f t="shared" si="2"/>
        <v>Colombia</v>
      </c>
      <c r="D24" s="10" t="str">
        <f t="shared" si="3"/>
        <v>State</v>
      </c>
      <c r="E24" s="10" t="str">
        <f t="shared" si="4"/>
        <v>Ecopetrol</v>
      </c>
      <c r="F24" s="10" t="s">
        <v>246</v>
      </c>
      <c r="G24" s="16" t="str">
        <f t="shared" si="5"/>
        <v>24/5/2022</v>
      </c>
      <c r="H24" s="10">
        <v>7</v>
      </c>
      <c r="I24" s="10">
        <v>6.3659999999999997</v>
      </c>
      <c r="J24" s="10">
        <f t="shared" si="6"/>
        <v>0.31700000000000017</v>
      </c>
      <c r="K24" s="10">
        <v>23</v>
      </c>
      <c r="L24" s="13">
        <v>866.13900000000001</v>
      </c>
      <c r="M24" s="13">
        <v>904.99</v>
      </c>
      <c r="N24" s="13">
        <v>38.851999999999997</v>
      </c>
      <c r="O24" s="10">
        <v>6.3395004300000002</v>
      </c>
      <c r="P24" s="11">
        <v>866.09997599999997</v>
      </c>
      <c r="Q24" s="12">
        <v>0.33800005900000002</v>
      </c>
      <c r="R24" s="12">
        <v>7.6008691800000001</v>
      </c>
      <c r="S24" s="12">
        <v>867.90002400000003</v>
      </c>
      <c r="T24" s="12">
        <v>0.29758620299999999</v>
      </c>
      <c r="U24" s="10">
        <v>6.4770002399999997</v>
      </c>
      <c r="V24" s="13">
        <v>887.20001200000002</v>
      </c>
      <c r="W24" s="12">
        <v>0.26149988200000002</v>
      </c>
      <c r="X24" s="12">
        <v>17.507900200000002</v>
      </c>
      <c r="Y24" s="17" t="str">
        <f t="shared" si="7"/>
        <v>I</v>
      </c>
      <c r="Z24" s="17">
        <f t="shared" si="8"/>
        <v>17.507923659306034</v>
      </c>
      <c r="AA24" s="17">
        <f t="shared" si="9"/>
        <v>2.168937624001388</v>
      </c>
      <c r="AB24" s="17">
        <f t="shared" si="10"/>
        <v>1.5997078968571055</v>
      </c>
      <c r="AC24" s="17">
        <f t="shared" si="11"/>
        <v>0.82492076340693965</v>
      </c>
      <c r="AD24" s="17">
        <f t="shared" si="12"/>
        <v>0.94501460515714475</v>
      </c>
      <c r="AE24" s="17">
        <f t="shared" si="13"/>
        <v>0.78</v>
      </c>
      <c r="AF24" s="17">
        <v>6340</v>
      </c>
      <c r="AG24" s="17">
        <v>3830</v>
      </c>
      <c r="AH24" s="17">
        <f t="shared" si="14"/>
        <v>1.7616848899999999E-2</v>
      </c>
      <c r="AI24" s="17">
        <f t="shared" si="15"/>
        <v>5229.9976399999978</v>
      </c>
      <c r="AJ24" s="17">
        <f t="shared" si="16"/>
        <v>2987.4</v>
      </c>
      <c r="AK24" s="17">
        <v>1.7616848899999999</v>
      </c>
      <c r="AL24" s="17">
        <v>866.09997599999997</v>
      </c>
      <c r="AM24" s="20" t="str">
        <f t="shared" si="17"/>
        <v>I</v>
      </c>
      <c r="AN24" s="20"/>
      <c r="AO24" s="18">
        <f t="shared" si="18"/>
        <v>0.82492076340693965</v>
      </c>
      <c r="AP24" s="10" t="str">
        <f t="shared" si="19"/>
        <v>Daño del 0-15%</v>
      </c>
      <c r="AQ24" s="19" t="str">
        <f t="shared" ca="1" si="20"/>
        <v>D:\1. Pozos\11. Noviembre\4. DT-96\images\sec_max_pen_T23.png</v>
      </c>
      <c r="AR24" s="19" t="str">
        <f t="shared" ca="1" si="21"/>
        <v>D:\1. Pozos\11. Noviembre\4. DT-96\images\sec_max_res_T23.png</v>
      </c>
      <c r="AS24" s="10" t="str">
        <f t="shared" ca="1" si="22"/>
        <v>D:\1. Pozos\11. Noviembre\4. DT-96\images\23.emf</v>
      </c>
      <c r="AT24" s="19" t="str">
        <f t="shared" ca="1" si="23"/>
        <v>D:\1. Pozos\11. Noviembre\4. DT-96\images\GraficaIntegradaT23.png</v>
      </c>
    </row>
    <row r="25" spans="1:46" x14ac:dyDescent="0.25">
      <c r="A25" s="10" t="str">
        <f t="shared" si="0"/>
        <v>Well-1</v>
      </c>
      <c r="B25" s="10" t="str">
        <f t="shared" si="1"/>
        <v>Exploratorio</v>
      </c>
      <c r="C25" s="10" t="str">
        <f t="shared" si="2"/>
        <v>Colombia</v>
      </c>
      <c r="D25" s="10" t="str">
        <f t="shared" si="3"/>
        <v>State</v>
      </c>
      <c r="E25" s="10" t="str">
        <f t="shared" si="4"/>
        <v>Ecopetrol</v>
      </c>
      <c r="F25" s="10" t="s">
        <v>246</v>
      </c>
      <c r="G25" s="16" t="str">
        <f t="shared" si="5"/>
        <v>24/5/2022</v>
      </c>
      <c r="H25" s="10">
        <v>7</v>
      </c>
      <c r="I25" s="10">
        <v>6.3659999999999997</v>
      </c>
      <c r="J25" s="10">
        <f t="shared" si="6"/>
        <v>0.31700000000000017</v>
      </c>
      <c r="K25" s="10">
        <v>24</v>
      </c>
      <c r="L25" s="13">
        <v>906.49</v>
      </c>
      <c r="M25" s="13">
        <v>942.25300000000004</v>
      </c>
      <c r="N25" s="13">
        <v>35.762999999999998</v>
      </c>
      <c r="O25" s="10">
        <v>6.3385005000000003</v>
      </c>
      <c r="P25" s="11">
        <v>914.59997599999997</v>
      </c>
      <c r="Q25" s="12">
        <v>0.337500095</v>
      </c>
      <c r="R25" s="12">
        <v>7.6338505699999999</v>
      </c>
      <c r="S25" s="12">
        <v>942</v>
      </c>
      <c r="T25" s="12">
        <v>0.29714918099999998</v>
      </c>
      <c r="U25" s="10">
        <v>6.4739999800000003</v>
      </c>
      <c r="V25" s="13">
        <v>920.79998799999998</v>
      </c>
      <c r="W25" s="12">
        <v>0.26300001099999998</v>
      </c>
      <c r="X25" s="12">
        <v>17.034673699999999</v>
      </c>
      <c r="Y25" s="17" t="str">
        <f t="shared" si="7"/>
        <v>I</v>
      </c>
      <c r="Z25" s="17">
        <f t="shared" si="8"/>
        <v>17.03469684542592</v>
      </c>
      <c r="AA25" s="17">
        <f t="shared" si="9"/>
        <v>2.1377213743218881</v>
      </c>
      <c r="AB25" s="17">
        <f t="shared" si="10"/>
        <v>1.5989635087983345</v>
      </c>
      <c r="AC25" s="17">
        <f t="shared" si="11"/>
        <v>0.82965303154574088</v>
      </c>
      <c r="AD25" s="17">
        <f t="shared" si="12"/>
        <v>0.9450518245600833</v>
      </c>
      <c r="AE25" s="17">
        <f t="shared" si="13"/>
        <v>0.78</v>
      </c>
      <c r="AF25" s="17">
        <v>6340</v>
      </c>
      <c r="AG25" s="17">
        <v>3830</v>
      </c>
      <c r="AH25" s="17">
        <f t="shared" si="14"/>
        <v>1.73295927E-2</v>
      </c>
      <c r="AI25" s="17">
        <f t="shared" si="15"/>
        <v>5260.0002199999972</v>
      </c>
      <c r="AJ25" s="17">
        <f t="shared" si="16"/>
        <v>2987.4</v>
      </c>
      <c r="AK25" s="17">
        <v>1.7329592700000001</v>
      </c>
      <c r="AL25" s="17">
        <v>918.29998799999998</v>
      </c>
      <c r="AM25" s="20" t="str">
        <f t="shared" si="17"/>
        <v>I</v>
      </c>
      <c r="AN25" s="20"/>
      <c r="AO25" s="18">
        <f t="shared" si="18"/>
        <v>0.82965303154574088</v>
      </c>
      <c r="AP25" s="10" t="str">
        <f t="shared" si="19"/>
        <v>Daño del 0-15%</v>
      </c>
      <c r="AQ25" s="19" t="str">
        <f t="shared" ca="1" si="20"/>
        <v>D:\1. Pozos\11. Noviembre\4. DT-96\images\sec_max_pen_T24.png</v>
      </c>
      <c r="AR25" s="19" t="str">
        <f t="shared" ca="1" si="21"/>
        <v>D:\1. Pozos\11. Noviembre\4. DT-96\images\sec_max_res_T24.png</v>
      </c>
      <c r="AS25" s="10" t="str">
        <f t="shared" ca="1" si="22"/>
        <v>D:\1. Pozos\11. Noviembre\4. DT-96\images\24.emf</v>
      </c>
      <c r="AT25" s="19" t="str">
        <f t="shared" ca="1" si="23"/>
        <v>D:\1. Pozos\11. Noviembre\4. DT-96\images\GraficaIntegradaT24.png</v>
      </c>
    </row>
    <row r="26" spans="1:46" x14ac:dyDescent="0.25">
      <c r="A26" s="10" t="str">
        <f t="shared" si="0"/>
        <v>Well-1</v>
      </c>
      <c r="B26" s="10" t="str">
        <f t="shared" si="1"/>
        <v>Exploratorio</v>
      </c>
      <c r="C26" s="10" t="str">
        <f t="shared" si="2"/>
        <v>Colombia</v>
      </c>
      <c r="D26" s="10" t="str">
        <f t="shared" si="3"/>
        <v>State</v>
      </c>
      <c r="E26" s="10" t="str">
        <f t="shared" si="4"/>
        <v>Ecopetrol</v>
      </c>
      <c r="F26" s="10" t="s">
        <v>246</v>
      </c>
      <c r="G26" s="16" t="str">
        <f t="shared" si="5"/>
        <v>24/5/2022</v>
      </c>
      <c r="H26" s="10">
        <v>7</v>
      </c>
      <c r="I26" s="10">
        <v>6.3659999999999997</v>
      </c>
      <c r="J26" s="10">
        <f t="shared" si="6"/>
        <v>0.31700000000000017</v>
      </c>
      <c r="K26" s="10">
        <v>25</v>
      </c>
      <c r="L26" s="13">
        <v>943.75300000000004</v>
      </c>
      <c r="M26" s="13">
        <v>980.67399999999998</v>
      </c>
      <c r="N26" s="13">
        <v>36.920999999999999</v>
      </c>
      <c r="O26" s="10">
        <v>6.3360004400000003</v>
      </c>
      <c r="P26" s="11">
        <v>953.5</v>
      </c>
      <c r="Q26" s="12">
        <v>0.33949994999999999</v>
      </c>
      <c r="R26" s="12">
        <v>7.16198874</v>
      </c>
      <c r="S26" s="12">
        <v>946.20001200000002</v>
      </c>
      <c r="T26" s="12">
        <v>0.298809767</v>
      </c>
      <c r="U26" s="10">
        <v>6.4790000900000004</v>
      </c>
      <c r="V26" s="13">
        <v>961.20001200000002</v>
      </c>
      <c r="W26" s="12">
        <v>0.26049995399999998</v>
      </c>
      <c r="X26" s="12">
        <v>17.8233356</v>
      </c>
      <c r="Y26" s="17" t="str">
        <f t="shared" si="7"/>
        <v>I</v>
      </c>
      <c r="Z26" s="17">
        <f t="shared" si="8"/>
        <v>17.823358359621501</v>
      </c>
      <c r="AA26" s="17">
        <f t="shared" si="9"/>
        <v>2.2569387637226823</v>
      </c>
      <c r="AB26" s="17">
        <f t="shared" si="10"/>
        <v>1.6523016055851159</v>
      </c>
      <c r="AC26" s="17">
        <f t="shared" si="11"/>
        <v>0.821766416403785</v>
      </c>
      <c r="AD26" s="17">
        <f t="shared" si="12"/>
        <v>0.94238491972074423</v>
      </c>
      <c r="AE26" s="17">
        <f t="shared" si="13"/>
        <v>0.77</v>
      </c>
      <c r="AF26" s="17">
        <v>6340</v>
      </c>
      <c r="AG26" s="17">
        <v>3830</v>
      </c>
      <c r="AH26" s="17">
        <f t="shared" si="14"/>
        <v>1.8471295799999999E-2</v>
      </c>
      <c r="AI26" s="17">
        <f t="shared" si="15"/>
        <v>5209.9990799999969</v>
      </c>
      <c r="AJ26" s="17">
        <f t="shared" si="16"/>
        <v>2949.1</v>
      </c>
      <c r="AK26" s="17">
        <v>1.84712958</v>
      </c>
      <c r="AL26" s="17">
        <v>953.5</v>
      </c>
      <c r="AM26" s="20" t="str">
        <f t="shared" si="17"/>
        <v>I</v>
      </c>
      <c r="AN26" s="20"/>
      <c r="AO26" s="18">
        <f t="shared" si="18"/>
        <v>0.82176641640378489</v>
      </c>
      <c r="AP26" s="10" t="str">
        <f t="shared" si="19"/>
        <v>Daño del 0-15%</v>
      </c>
      <c r="AQ26" s="19" t="str">
        <f t="shared" ca="1" si="20"/>
        <v>D:\1. Pozos\11. Noviembre\4. DT-96\images\sec_max_pen_T25.png</v>
      </c>
      <c r="AR26" s="19" t="str">
        <f t="shared" ca="1" si="21"/>
        <v>D:\1. Pozos\11. Noviembre\4. DT-96\images\sec_max_res_T25.png</v>
      </c>
      <c r="AS26" s="10" t="str">
        <f t="shared" ca="1" si="22"/>
        <v>D:\1. Pozos\11. Noviembre\4. DT-96\images\25.emf</v>
      </c>
      <c r="AT26" s="19" t="str">
        <f t="shared" ca="1" si="23"/>
        <v>D:\1. Pozos\11. Noviembre\4. DT-96\images\GraficaIntegradaT25.png</v>
      </c>
    </row>
    <row r="27" spans="1:46" x14ac:dyDescent="0.25">
      <c r="A27" s="10" t="str">
        <f t="shared" si="0"/>
        <v>Well-1</v>
      </c>
      <c r="B27" s="10" t="str">
        <f t="shared" si="1"/>
        <v>Exploratorio</v>
      </c>
      <c r="C27" s="10" t="str">
        <f t="shared" si="2"/>
        <v>Colombia</v>
      </c>
      <c r="D27" s="10" t="str">
        <f t="shared" si="3"/>
        <v>State</v>
      </c>
      <c r="E27" s="10" t="str">
        <f t="shared" si="4"/>
        <v>Ecopetrol</v>
      </c>
      <c r="F27" s="10" t="s">
        <v>246</v>
      </c>
      <c r="G27" s="16" t="str">
        <f t="shared" si="5"/>
        <v>24/5/2022</v>
      </c>
      <c r="H27" s="10">
        <v>7</v>
      </c>
      <c r="I27" s="10">
        <v>6.3659999999999997</v>
      </c>
      <c r="J27" s="10">
        <f t="shared" si="6"/>
        <v>0.31700000000000017</v>
      </c>
      <c r="K27" s="10">
        <v>26</v>
      </c>
      <c r="L27" s="13">
        <v>982.17399999999998</v>
      </c>
      <c r="M27" s="13">
        <v>1018.13</v>
      </c>
      <c r="N27" s="13">
        <v>35.956000000000003</v>
      </c>
      <c r="O27" s="10">
        <v>6.34400034</v>
      </c>
      <c r="P27" s="11">
        <v>985.29998799999998</v>
      </c>
      <c r="Q27" s="12">
        <v>0.341500044</v>
      </c>
      <c r="R27" s="12">
        <v>6.2670206999999998</v>
      </c>
      <c r="S27" s="12">
        <v>1018.09998</v>
      </c>
      <c r="T27" s="12">
        <v>0.30199861500000003</v>
      </c>
      <c r="U27" s="10">
        <v>6.4679999400000003</v>
      </c>
      <c r="V27" s="13">
        <v>1003.5</v>
      </c>
      <c r="W27" s="12">
        <v>0.266000032</v>
      </c>
      <c r="X27" s="12">
        <v>16.088294999999999</v>
      </c>
      <c r="Y27" s="17" t="str">
        <f t="shared" si="7"/>
        <v>I</v>
      </c>
      <c r="Z27" s="17">
        <f t="shared" si="8"/>
        <v>16.088317981072599</v>
      </c>
      <c r="AA27" s="17">
        <f t="shared" si="9"/>
        <v>1.9545963643501363</v>
      </c>
      <c r="AB27" s="17">
        <f t="shared" si="10"/>
        <v>1.3871534092635418</v>
      </c>
      <c r="AC27" s="17">
        <f t="shared" si="11"/>
        <v>0.83911682018927392</v>
      </c>
      <c r="AD27" s="17">
        <f t="shared" si="12"/>
        <v>0.95564232953682293</v>
      </c>
      <c r="AE27" s="17">
        <f t="shared" si="13"/>
        <v>0.8</v>
      </c>
      <c r="AF27" s="17">
        <v>6340</v>
      </c>
      <c r="AG27" s="17">
        <v>3830</v>
      </c>
      <c r="AH27" s="17">
        <f t="shared" si="14"/>
        <v>1.41714418E-2</v>
      </c>
      <c r="AI27" s="17">
        <f t="shared" si="15"/>
        <v>5320.0006399999966</v>
      </c>
      <c r="AJ27" s="17">
        <f t="shared" si="16"/>
        <v>3064</v>
      </c>
      <c r="AK27" s="17">
        <v>1.41714418</v>
      </c>
      <c r="AL27" s="17">
        <v>984.79998799999998</v>
      </c>
      <c r="AM27" s="20" t="str">
        <f t="shared" si="17"/>
        <v>I</v>
      </c>
      <c r="AN27" s="20"/>
      <c r="AO27" s="18">
        <f t="shared" si="18"/>
        <v>0.83911682018927392</v>
      </c>
      <c r="AP27" s="10" t="str">
        <f t="shared" si="19"/>
        <v>Daño del 0-15%</v>
      </c>
      <c r="AQ27" s="19" t="str">
        <f t="shared" ca="1" si="20"/>
        <v>D:\1. Pozos\11. Noviembre\4. DT-96\images\sec_max_pen_T26.png</v>
      </c>
      <c r="AR27" s="19" t="str">
        <f t="shared" ca="1" si="21"/>
        <v>D:\1. Pozos\11. Noviembre\4. DT-96\images\sec_max_res_T26.png</v>
      </c>
      <c r="AS27" s="10" t="str">
        <f t="shared" ca="1" si="22"/>
        <v>D:\1. Pozos\11. Noviembre\4. DT-96\images\26.emf</v>
      </c>
      <c r="AT27" s="19" t="str">
        <f t="shared" ca="1" si="23"/>
        <v>D:\1. Pozos\11. Noviembre\4. DT-96\images\GraficaIntegradaT26.png</v>
      </c>
    </row>
    <row r="28" spans="1:46" x14ac:dyDescent="0.25">
      <c r="A28" s="10" t="str">
        <f t="shared" si="0"/>
        <v>Well-1</v>
      </c>
      <c r="B28" s="10" t="str">
        <f t="shared" si="1"/>
        <v>Exploratorio</v>
      </c>
      <c r="C28" s="10" t="str">
        <f t="shared" si="2"/>
        <v>Colombia</v>
      </c>
      <c r="D28" s="10" t="str">
        <f t="shared" si="3"/>
        <v>State</v>
      </c>
      <c r="E28" s="10" t="str">
        <f t="shared" si="4"/>
        <v>Ecopetrol</v>
      </c>
      <c r="F28" s="10" t="s">
        <v>246</v>
      </c>
      <c r="G28" s="16" t="str">
        <f t="shared" si="5"/>
        <v>24/5/2022</v>
      </c>
      <c r="H28" s="10">
        <v>7</v>
      </c>
      <c r="I28" s="10">
        <v>6.3659999999999997</v>
      </c>
      <c r="J28" s="10">
        <f t="shared" si="6"/>
        <v>0.31700000000000017</v>
      </c>
      <c r="K28" s="10">
        <v>27</v>
      </c>
      <c r="L28" s="13">
        <v>1019.63</v>
      </c>
      <c r="M28" s="13">
        <v>1057.3230000000001</v>
      </c>
      <c r="N28" s="13">
        <v>37.692999999999998</v>
      </c>
      <c r="O28" s="10">
        <v>6.3305001299999999</v>
      </c>
      <c r="P28" s="11">
        <v>1033.40002</v>
      </c>
      <c r="Q28" s="12">
        <v>0.33999991400000001</v>
      </c>
      <c r="R28" s="12">
        <v>6.0311689399999997</v>
      </c>
      <c r="S28" s="12">
        <v>1033.3000500000001</v>
      </c>
      <c r="T28" s="12">
        <v>0.300919771</v>
      </c>
      <c r="U28" s="10">
        <v>6.4850001300000004</v>
      </c>
      <c r="V28" s="13">
        <v>1033.3000500000001</v>
      </c>
      <c r="W28" s="12">
        <v>0.25749993300000001</v>
      </c>
      <c r="X28" s="12">
        <v>18.769714400000002</v>
      </c>
      <c r="Y28" s="17" t="str">
        <f t="shared" si="7"/>
        <v>I</v>
      </c>
      <c r="Z28" s="17">
        <f t="shared" si="8"/>
        <v>18.769737223974804</v>
      </c>
      <c r="AA28" s="17">
        <f t="shared" si="9"/>
        <v>2.4405654660337284</v>
      </c>
      <c r="AB28" s="17">
        <f t="shared" si="10"/>
        <v>1.7546822481464774</v>
      </c>
      <c r="AC28" s="17">
        <f t="shared" si="11"/>
        <v>0.81230262776025197</v>
      </c>
      <c r="AD28" s="17">
        <f t="shared" si="12"/>
        <v>0.93726588759267615</v>
      </c>
      <c r="AE28" s="17">
        <f t="shared" si="13"/>
        <v>0.76</v>
      </c>
      <c r="AF28" s="17">
        <v>6340</v>
      </c>
      <c r="AG28" s="17">
        <v>3830</v>
      </c>
      <c r="AH28" s="17">
        <f t="shared" si="14"/>
        <v>2.1208639100000003E-2</v>
      </c>
      <c r="AI28" s="17">
        <f t="shared" si="15"/>
        <v>5149.9986599999975</v>
      </c>
      <c r="AJ28" s="17">
        <f t="shared" si="16"/>
        <v>2910.8</v>
      </c>
      <c r="AK28" s="17">
        <v>2.1208639100000002</v>
      </c>
      <c r="AL28" s="17">
        <v>1033.40002</v>
      </c>
      <c r="AM28" s="20" t="str">
        <f t="shared" si="17"/>
        <v>II</v>
      </c>
      <c r="AN28" s="20"/>
      <c r="AO28" s="18">
        <f t="shared" si="18"/>
        <v>0.81230262776025197</v>
      </c>
      <c r="AP28" s="10" t="str">
        <f t="shared" si="19"/>
        <v>Daño del 0-15%</v>
      </c>
      <c r="AQ28" s="19" t="str">
        <f t="shared" ca="1" si="20"/>
        <v>D:\1. Pozos\11. Noviembre\4. DT-96\images\sec_max_pen_T27.png</v>
      </c>
      <c r="AR28" s="19" t="str">
        <f t="shared" ca="1" si="21"/>
        <v>D:\1. Pozos\11. Noviembre\4. DT-96\images\sec_max_res_T27.png</v>
      </c>
      <c r="AS28" s="10" t="str">
        <f t="shared" ca="1" si="22"/>
        <v>D:\1. Pozos\11. Noviembre\4. DT-96\images\27.emf</v>
      </c>
      <c r="AT28" s="19" t="str">
        <f t="shared" ca="1" si="23"/>
        <v>D:\1. Pozos\11. Noviembre\4. DT-96\images\GraficaIntegradaT27.png</v>
      </c>
    </row>
    <row r="29" spans="1:46" x14ac:dyDescent="0.25">
      <c r="A29" s="10" t="str">
        <f t="shared" si="0"/>
        <v>Well-1</v>
      </c>
      <c r="B29" s="10" t="str">
        <f t="shared" si="1"/>
        <v>Exploratorio</v>
      </c>
      <c r="C29" s="10" t="str">
        <f t="shared" si="2"/>
        <v>Colombia</v>
      </c>
      <c r="D29" s="10" t="str">
        <f t="shared" si="3"/>
        <v>State</v>
      </c>
      <c r="E29" s="10" t="str">
        <f t="shared" si="4"/>
        <v>Ecopetrol</v>
      </c>
      <c r="F29" s="10" t="s">
        <v>246</v>
      </c>
      <c r="G29" s="16" t="str">
        <f t="shared" si="5"/>
        <v>24/5/2022</v>
      </c>
      <c r="H29" s="10">
        <v>7</v>
      </c>
      <c r="I29" s="10">
        <v>6.3659999999999997</v>
      </c>
      <c r="J29" s="10">
        <f t="shared" si="6"/>
        <v>0.31700000000000017</v>
      </c>
      <c r="K29" s="10">
        <v>28</v>
      </c>
      <c r="L29" s="13">
        <v>1058.8230000000001</v>
      </c>
      <c r="M29" s="13">
        <v>1095.9380000000001</v>
      </c>
      <c r="N29" s="13">
        <v>37.113999999999997</v>
      </c>
      <c r="O29" s="10">
        <v>6.34150028</v>
      </c>
      <c r="P29" s="11">
        <v>1088.5</v>
      </c>
      <c r="Q29" s="12">
        <v>0.33599996599999998</v>
      </c>
      <c r="R29" s="12">
        <v>10.669443100000001</v>
      </c>
      <c r="S29" s="12">
        <v>1058.8000500000001</v>
      </c>
      <c r="T29" s="12">
        <v>0.29687523799999999</v>
      </c>
      <c r="U29" s="10">
        <v>6.4749999000000003</v>
      </c>
      <c r="V29" s="13">
        <v>1087.5</v>
      </c>
      <c r="W29" s="12">
        <v>0.26250004799999999</v>
      </c>
      <c r="X29" s="12">
        <v>17.192390400000001</v>
      </c>
      <c r="Y29" s="17" t="str">
        <f t="shared" si="7"/>
        <v>I</v>
      </c>
      <c r="Z29" s="17">
        <f t="shared" si="8"/>
        <v>17.192413880126232</v>
      </c>
      <c r="AA29" s="17">
        <f t="shared" si="9"/>
        <v>2.1051740771980354</v>
      </c>
      <c r="AB29" s="17">
        <f t="shared" si="10"/>
        <v>1.5631069245967133</v>
      </c>
      <c r="AC29" s="17">
        <f t="shared" si="11"/>
        <v>0.82807586119873777</v>
      </c>
      <c r="AD29" s="17">
        <f t="shared" si="12"/>
        <v>0.94684465377016436</v>
      </c>
      <c r="AE29" s="17">
        <f t="shared" si="13"/>
        <v>0.78</v>
      </c>
      <c r="AF29" s="17">
        <v>6340</v>
      </c>
      <c r="AG29" s="17">
        <v>3830</v>
      </c>
      <c r="AH29" s="17">
        <f t="shared" si="14"/>
        <v>1.6654337599999999E-2</v>
      </c>
      <c r="AI29" s="17">
        <f t="shared" si="15"/>
        <v>5250.0009599999976</v>
      </c>
      <c r="AJ29" s="17">
        <f t="shared" si="16"/>
        <v>2987.4</v>
      </c>
      <c r="AK29" s="17">
        <v>1.66543376</v>
      </c>
      <c r="AL29" s="17">
        <v>1082.3000500000001</v>
      </c>
      <c r="AM29" s="20" t="str">
        <f t="shared" si="17"/>
        <v>I</v>
      </c>
      <c r="AN29" s="20"/>
      <c r="AO29" s="18">
        <f t="shared" si="18"/>
        <v>0.82807586119873777</v>
      </c>
      <c r="AP29" s="10" t="str">
        <f t="shared" si="19"/>
        <v>Daño del 0-15%</v>
      </c>
      <c r="AQ29" s="19" t="str">
        <f t="shared" ca="1" si="20"/>
        <v>D:\1. Pozos\11. Noviembre\4. DT-96\images\sec_max_pen_T28.png</v>
      </c>
      <c r="AR29" s="19" t="str">
        <f t="shared" ca="1" si="21"/>
        <v>D:\1. Pozos\11. Noviembre\4. DT-96\images\sec_max_res_T28.png</v>
      </c>
      <c r="AS29" s="10" t="str">
        <f t="shared" ca="1" si="22"/>
        <v>D:\1. Pozos\11. Noviembre\4. DT-96\images\28.emf</v>
      </c>
      <c r="AT29" s="19" t="str">
        <f t="shared" ca="1" si="23"/>
        <v>D:\1. Pozos\11. Noviembre\4. DT-96\images\GraficaIntegradaT28.png</v>
      </c>
    </row>
    <row r="30" spans="1:46" x14ac:dyDescent="0.25">
      <c r="A30" s="10" t="str">
        <f t="shared" si="0"/>
        <v>Well-1</v>
      </c>
      <c r="B30" s="10" t="str">
        <f t="shared" si="1"/>
        <v>Exploratorio</v>
      </c>
      <c r="C30" s="10" t="str">
        <f t="shared" si="2"/>
        <v>Colombia</v>
      </c>
      <c r="D30" s="10" t="str">
        <f t="shared" si="3"/>
        <v>State</v>
      </c>
      <c r="E30" s="10" t="str">
        <f t="shared" si="4"/>
        <v>Ecopetrol</v>
      </c>
      <c r="F30" s="10" t="s">
        <v>246</v>
      </c>
      <c r="G30" s="16" t="str">
        <f t="shared" si="5"/>
        <v>24/5/2022</v>
      </c>
      <c r="H30" s="10">
        <v>7</v>
      </c>
      <c r="I30" s="10">
        <v>6.3659999999999997</v>
      </c>
      <c r="J30" s="10">
        <f t="shared" si="6"/>
        <v>0.31700000000000017</v>
      </c>
      <c r="K30" s="10">
        <v>29</v>
      </c>
      <c r="L30" s="13">
        <v>1097.4380000000001</v>
      </c>
      <c r="M30" s="13">
        <v>1137.2550000000001</v>
      </c>
      <c r="N30" s="13">
        <v>39.817</v>
      </c>
      <c r="O30" s="10">
        <v>6.34400034</v>
      </c>
      <c r="P30" s="11">
        <v>1134.3000500000001</v>
      </c>
      <c r="Q30" s="12">
        <v>0.33699989299999999</v>
      </c>
      <c r="R30" s="12">
        <v>7.89481783</v>
      </c>
      <c r="S30" s="12">
        <v>1099.8000500000001</v>
      </c>
      <c r="T30" s="12">
        <v>0.29876136800000003</v>
      </c>
      <c r="U30" s="10">
        <v>6.4670000099999996</v>
      </c>
      <c r="V30" s="13">
        <v>1115</v>
      </c>
      <c r="W30" s="12">
        <v>0.26649999600000002</v>
      </c>
      <c r="X30" s="12">
        <v>15.930577299999999</v>
      </c>
      <c r="Y30" s="17" t="str">
        <f t="shared" si="7"/>
        <v>I</v>
      </c>
      <c r="Z30" s="17">
        <f t="shared" si="8"/>
        <v>15.930600630914865</v>
      </c>
      <c r="AA30" s="17">
        <f t="shared" si="9"/>
        <v>1.9388345430006559</v>
      </c>
      <c r="AB30" s="17">
        <f t="shared" si="10"/>
        <v>1.4303009636976061</v>
      </c>
      <c r="AC30" s="17">
        <f t="shared" si="11"/>
        <v>0.84069399369085129</v>
      </c>
      <c r="AD30" s="17">
        <f t="shared" si="12"/>
        <v>0.95348495181511972</v>
      </c>
      <c r="AE30" s="17">
        <f t="shared" si="13"/>
        <v>0.8</v>
      </c>
      <c r="AF30" s="17">
        <v>6340</v>
      </c>
      <c r="AG30" s="17">
        <v>3830</v>
      </c>
      <c r="AH30" s="17">
        <f t="shared" si="14"/>
        <v>1.50533366E-2</v>
      </c>
      <c r="AI30" s="17">
        <f t="shared" si="15"/>
        <v>5329.9999199999975</v>
      </c>
      <c r="AJ30" s="17">
        <f t="shared" si="16"/>
        <v>3064</v>
      </c>
      <c r="AK30" s="17">
        <v>1.50533366</v>
      </c>
      <c r="AL30" s="17">
        <v>1134.40002</v>
      </c>
      <c r="AM30" s="20" t="str">
        <f t="shared" si="17"/>
        <v>I</v>
      </c>
      <c r="AN30" s="20"/>
      <c r="AO30" s="18">
        <f t="shared" si="18"/>
        <v>0.84069399369085129</v>
      </c>
      <c r="AP30" s="10" t="str">
        <f t="shared" si="19"/>
        <v>Daño del 0-15%</v>
      </c>
      <c r="AQ30" s="19" t="str">
        <f t="shared" ca="1" si="20"/>
        <v>D:\1. Pozos\11. Noviembre\4. DT-96\images\sec_max_pen_T29.png</v>
      </c>
      <c r="AR30" s="19" t="str">
        <f t="shared" ca="1" si="21"/>
        <v>D:\1. Pozos\11. Noviembre\4. DT-96\images\sec_max_res_T29.png</v>
      </c>
      <c r="AS30" s="10" t="str">
        <f t="shared" ca="1" si="22"/>
        <v>D:\1. Pozos\11. Noviembre\4. DT-96\images\29.emf</v>
      </c>
      <c r="AT30" s="19" t="str">
        <f t="shared" ca="1" si="23"/>
        <v>D:\1. Pozos\11. Noviembre\4. DT-96\images\GraficaIntegradaT29.png</v>
      </c>
    </row>
    <row r="31" spans="1:46" x14ac:dyDescent="0.25">
      <c r="A31" s="10" t="str">
        <f t="shared" si="0"/>
        <v>Well-1</v>
      </c>
      <c r="B31" s="10" t="str">
        <f t="shared" si="1"/>
        <v>Exploratorio</v>
      </c>
      <c r="C31" s="10" t="str">
        <f t="shared" si="2"/>
        <v>Colombia</v>
      </c>
      <c r="D31" s="10" t="str">
        <f t="shared" si="3"/>
        <v>State</v>
      </c>
      <c r="E31" s="10" t="str">
        <f t="shared" si="4"/>
        <v>Ecopetrol</v>
      </c>
      <c r="F31" s="10" t="s">
        <v>246</v>
      </c>
      <c r="G31" s="16" t="str">
        <f t="shared" si="5"/>
        <v>24/5/2022</v>
      </c>
      <c r="H31" s="10">
        <v>7</v>
      </c>
      <c r="I31" s="10">
        <v>6.3659999999999997</v>
      </c>
      <c r="J31" s="10">
        <f t="shared" si="6"/>
        <v>0.31700000000000017</v>
      </c>
      <c r="K31" s="10">
        <v>30</v>
      </c>
      <c r="L31" s="13">
        <v>1138.7550000000001</v>
      </c>
      <c r="M31" s="13">
        <v>1176.8340000000001</v>
      </c>
      <c r="N31" s="13">
        <v>38.08</v>
      </c>
      <c r="O31" s="10">
        <v>6.3385005000000003</v>
      </c>
      <c r="P31" s="11">
        <v>1152</v>
      </c>
      <c r="Q31" s="12">
        <v>0.33699989299999999</v>
      </c>
      <c r="R31" s="12">
        <v>7.2137508400000003</v>
      </c>
      <c r="S31" s="12">
        <v>1140.6999499999999</v>
      </c>
      <c r="T31" s="12">
        <v>0.29899025000000001</v>
      </c>
      <c r="U31" s="10">
        <v>6.4699997900000001</v>
      </c>
      <c r="V31" s="13">
        <v>1154.09998</v>
      </c>
      <c r="W31" s="12">
        <v>0.26500010499999999</v>
      </c>
      <c r="X31" s="12">
        <v>16.4037285</v>
      </c>
      <c r="Y31" s="17" t="str">
        <f t="shared" si="7"/>
        <v>I</v>
      </c>
      <c r="Z31" s="17">
        <f t="shared" si="8"/>
        <v>16.40375236593065</v>
      </c>
      <c r="AA31" s="17">
        <f t="shared" si="9"/>
        <v>2.0746119685562725</v>
      </c>
      <c r="AB31" s="17">
        <f t="shared" si="10"/>
        <v>1.5383629771741791</v>
      </c>
      <c r="AC31" s="17">
        <f t="shared" si="11"/>
        <v>0.83596247634069354</v>
      </c>
      <c r="AD31" s="17">
        <f t="shared" si="12"/>
        <v>0.94808185114129107</v>
      </c>
      <c r="AE31" s="17">
        <f t="shared" si="13"/>
        <v>0.79</v>
      </c>
      <c r="AF31" s="17">
        <v>6340</v>
      </c>
      <c r="AG31" s="17">
        <v>3830</v>
      </c>
      <c r="AH31" s="17">
        <f t="shared" si="14"/>
        <v>1.6094077799999999E-2</v>
      </c>
      <c r="AI31" s="17">
        <f t="shared" si="15"/>
        <v>5300.002099999997</v>
      </c>
      <c r="AJ31" s="17">
        <f t="shared" si="16"/>
        <v>3025.7000000000003</v>
      </c>
      <c r="AK31" s="17">
        <v>1.60940778</v>
      </c>
      <c r="AL31" s="17">
        <v>1154.5</v>
      </c>
      <c r="AM31" s="20" t="str">
        <f t="shared" si="17"/>
        <v>I</v>
      </c>
      <c r="AN31" s="20"/>
      <c r="AO31" s="18">
        <f t="shared" si="18"/>
        <v>0.83596247634069354</v>
      </c>
      <c r="AP31" s="10" t="str">
        <f t="shared" si="19"/>
        <v>Daño del 0-15%</v>
      </c>
      <c r="AQ31" s="19" t="str">
        <f t="shared" ca="1" si="20"/>
        <v>D:\1. Pozos\11. Noviembre\4. DT-96\images\sec_max_pen_T30.png</v>
      </c>
      <c r="AR31" s="19" t="str">
        <f t="shared" ca="1" si="21"/>
        <v>D:\1. Pozos\11. Noviembre\4. DT-96\images\sec_max_res_T30.png</v>
      </c>
      <c r="AS31" s="10" t="str">
        <f t="shared" ca="1" si="22"/>
        <v>D:\1. Pozos\11. Noviembre\4. DT-96\images\30.emf</v>
      </c>
      <c r="AT31" s="19" t="str">
        <f t="shared" ca="1" si="23"/>
        <v>D:\1. Pozos\11. Noviembre\4. DT-96\images\GraficaIntegradaT30.png</v>
      </c>
    </row>
    <row r="32" spans="1:46" x14ac:dyDescent="0.25">
      <c r="A32" s="10" t="str">
        <f t="shared" si="0"/>
        <v>Well-1</v>
      </c>
      <c r="B32" s="10" t="str">
        <f t="shared" si="1"/>
        <v>Exploratorio</v>
      </c>
      <c r="C32" s="10" t="str">
        <f t="shared" si="2"/>
        <v>Colombia</v>
      </c>
      <c r="D32" s="10" t="str">
        <f t="shared" si="3"/>
        <v>State</v>
      </c>
      <c r="E32" s="10" t="str">
        <f t="shared" si="4"/>
        <v>Ecopetrol</v>
      </c>
      <c r="F32" s="10" t="s">
        <v>246</v>
      </c>
      <c r="G32" s="16" t="str">
        <f t="shared" si="5"/>
        <v>24/5/2022</v>
      </c>
      <c r="H32" s="10">
        <v>7</v>
      </c>
      <c r="I32" s="10">
        <v>6.3659999999999997</v>
      </c>
      <c r="J32" s="10">
        <f t="shared" si="6"/>
        <v>0.31700000000000017</v>
      </c>
      <c r="K32" s="10">
        <v>31</v>
      </c>
      <c r="L32" s="13">
        <v>1178.3340000000001</v>
      </c>
      <c r="M32" s="13">
        <v>1217.7650000000001</v>
      </c>
      <c r="N32" s="13">
        <v>39.430999999999997</v>
      </c>
      <c r="O32" s="10">
        <v>6.28150034</v>
      </c>
      <c r="P32" s="11">
        <v>1179.09998</v>
      </c>
      <c r="Q32" s="12">
        <v>0.40949988399999998</v>
      </c>
      <c r="R32" s="12">
        <v>6.8499679599999999</v>
      </c>
      <c r="S32" s="12">
        <v>1181.8000500000001</v>
      </c>
      <c r="T32" s="12">
        <v>0.300062895</v>
      </c>
      <c r="U32" s="10">
        <v>6.4800000200000003</v>
      </c>
      <c r="V32" s="13">
        <v>1189.1999499999999</v>
      </c>
      <c r="W32" s="12">
        <v>0.25999999000000001</v>
      </c>
      <c r="X32" s="12">
        <v>17.981052399999999</v>
      </c>
      <c r="Y32" s="17" t="str">
        <f t="shared" si="7"/>
        <v>I</v>
      </c>
      <c r="Z32" s="17">
        <f t="shared" si="8"/>
        <v>17.981075709779219</v>
      </c>
      <c r="AA32" s="17">
        <f t="shared" si="9"/>
        <v>3.160067965545954</v>
      </c>
      <c r="AB32" s="17">
        <f t="shared" si="10"/>
        <v>2.5222759917895798</v>
      </c>
      <c r="AC32" s="17">
        <f t="shared" si="11"/>
        <v>0.82018924290220785</v>
      </c>
      <c r="AD32" s="17">
        <f t="shared" si="12"/>
        <v>0.89888620041052103</v>
      </c>
      <c r="AE32" s="17">
        <f t="shared" si="13"/>
        <v>0.74</v>
      </c>
      <c r="AF32" s="17">
        <v>6340</v>
      </c>
      <c r="AG32" s="17">
        <v>3830</v>
      </c>
      <c r="AH32" s="17">
        <f t="shared" si="14"/>
        <v>1.8011242199999999E-2</v>
      </c>
      <c r="AI32" s="17">
        <f t="shared" si="15"/>
        <v>5199.9997999999978</v>
      </c>
      <c r="AJ32" s="17">
        <f t="shared" si="16"/>
        <v>2834.2</v>
      </c>
      <c r="AK32" s="17">
        <v>1.8011242199999999</v>
      </c>
      <c r="AL32" s="17">
        <v>1209.6999499999999</v>
      </c>
      <c r="AM32" s="20" t="str">
        <f t="shared" si="17"/>
        <v>I</v>
      </c>
      <c r="AN32" s="20"/>
      <c r="AO32" s="18">
        <f t="shared" si="18"/>
        <v>0.82018924290220785</v>
      </c>
      <c r="AP32" s="10" t="str">
        <f t="shared" si="19"/>
        <v>Daño del 0-15%</v>
      </c>
      <c r="AQ32" s="19" t="str">
        <f t="shared" ca="1" si="20"/>
        <v>D:\1. Pozos\11. Noviembre\4. DT-96\images\sec_max_pen_T31.png</v>
      </c>
      <c r="AR32" s="19" t="str">
        <f t="shared" ca="1" si="21"/>
        <v>D:\1. Pozos\11. Noviembre\4. DT-96\images\sec_max_res_T31.png</v>
      </c>
      <c r="AS32" s="10" t="str">
        <f t="shared" ca="1" si="22"/>
        <v>D:\1. Pozos\11. Noviembre\4. DT-96\images\31.emf</v>
      </c>
      <c r="AT32" s="19" t="str">
        <f t="shared" ca="1" si="23"/>
        <v>D:\1. Pozos\11. Noviembre\4. DT-96\images\GraficaIntegradaT31.png</v>
      </c>
    </row>
    <row r="33" spans="1:46" x14ac:dyDescent="0.25">
      <c r="A33" s="10" t="str">
        <f t="shared" si="0"/>
        <v>Well-1</v>
      </c>
      <c r="B33" s="10" t="str">
        <f t="shared" si="1"/>
        <v>Exploratorio</v>
      </c>
      <c r="C33" s="10" t="str">
        <f t="shared" si="2"/>
        <v>Colombia</v>
      </c>
      <c r="D33" s="10" t="str">
        <f t="shared" si="3"/>
        <v>State</v>
      </c>
      <c r="E33" s="10" t="str">
        <f t="shared" si="4"/>
        <v>Ecopetrol</v>
      </c>
      <c r="F33" s="10" t="s">
        <v>246</v>
      </c>
      <c r="G33" s="16" t="str">
        <f t="shared" si="5"/>
        <v>24/5/2022</v>
      </c>
      <c r="H33" s="10">
        <v>7</v>
      </c>
      <c r="I33" s="10">
        <v>6.3659999999999997</v>
      </c>
      <c r="J33" s="10">
        <f t="shared" si="6"/>
        <v>0.31700000000000017</v>
      </c>
      <c r="K33" s="10">
        <v>32</v>
      </c>
      <c r="L33" s="13">
        <v>1219.2650000000001</v>
      </c>
      <c r="M33" s="13">
        <v>1254.835</v>
      </c>
      <c r="N33" s="13">
        <v>35.57</v>
      </c>
      <c r="O33" s="10">
        <v>6.3450002699999999</v>
      </c>
      <c r="P33" s="11">
        <v>1220.5</v>
      </c>
      <c r="Q33" s="12">
        <v>0.33649992899999998</v>
      </c>
      <c r="R33" s="12">
        <v>5.3455219300000003</v>
      </c>
      <c r="S33" s="12">
        <v>1221.5</v>
      </c>
      <c r="T33" s="12">
        <v>0.30210065800000002</v>
      </c>
      <c r="U33" s="10">
        <v>6.4650001499999998</v>
      </c>
      <c r="V33" s="13">
        <v>1243.90002</v>
      </c>
      <c r="W33" s="12">
        <v>0.267499924</v>
      </c>
      <c r="X33" s="12">
        <v>15.615142799999999</v>
      </c>
      <c r="Y33" s="17" t="str">
        <f t="shared" si="7"/>
        <v>I</v>
      </c>
      <c r="Z33" s="17">
        <f t="shared" si="8"/>
        <v>15.615165930599414</v>
      </c>
      <c r="AA33" s="17">
        <f t="shared" si="9"/>
        <v>1.8912509833510116</v>
      </c>
      <c r="AB33" s="17">
        <f t="shared" si="10"/>
        <v>1.3459281696768244</v>
      </c>
      <c r="AC33" s="17">
        <f t="shared" si="11"/>
        <v>0.84384834069400583</v>
      </c>
      <c r="AD33" s="17">
        <f t="shared" si="12"/>
        <v>0.9577035915161588</v>
      </c>
      <c r="AE33" s="17">
        <f t="shared" si="13"/>
        <v>0.81</v>
      </c>
      <c r="AF33" s="17">
        <v>6340</v>
      </c>
      <c r="AG33" s="17">
        <v>3830</v>
      </c>
      <c r="AH33" s="17">
        <f t="shared" si="14"/>
        <v>1.5679135300000001E-2</v>
      </c>
      <c r="AI33" s="17">
        <f t="shared" si="15"/>
        <v>5349.9984799999966</v>
      </c>
      <c r="AJ33" s="17">
        <f t="shared" si="16"/>
        <v>3102.3</v>
      </c>
      <c r="AK33" s="17">
        <v>1.56791353</v>
      </c>
      <c r="AL33" s="17">
        <v>1242.09998</v>
      </c>
      <c r="AM33" s="20" t="str">
        <f t="shared" si="17"/>
        <v>I</v>
      </c>
      <c r="AN33" s="20"/>
      <c r="AO33" s="18">
        <f t="shared" si="18"/>
        <v>0.84384834069400583</v>
      </c>
      <c r="AP33" s="10" t="str">
        <f t="shared" si="19"/>
        <v>Daño del 0-15%</v>
      </c>
      <c r="AQ33" s="19" t="str">
        <f t="shared" ref="AQ33:AQ64" ca="1" si="24">Path&amp;"images\sec_max_pen_T"&amp;$K33&amp;".png"</f>
        <v>D:\1. Pozos\11. Noviembre\4. DT-96\images\sec_max_pen_T32.png</v>
      </c>
      <c r="AR33" s="19" t="str">
        <f t="shared" ref="AR33:AR64" ca="1" si="25">Path&amp;"images\sec_max_res_T"&amp;$K33&amp;".png"</f>
        <v>D:\1. Pozos\11. Noviembre\4. DT-96\images\sec_max_res_T32.png</v>
      </c>
      <c r="AS33" s="10" t="str">
        <f t="shared" ref="AS33:AS64" ca="1" si="26">Path&amp;"images\"&amp;$K33&amp;".emf"</f>
        <v>D:\1. Pozos\11. Noviembre\4. DT-96\images\32.emf</v>
      </c>
      <c r="AT33" s="19" t="str">
        <f t="shared" ref="AT33:AT64" ca="1" si="27">Path&amp;"images\GraficaIntegradaT"&amp;$K33&amp;".png"</f>
        <v>D:\1. Pozos\11. Noviembre\4. DT-96\images\GraficaIntegradaT32.png</v>
      </c>
    </row>
    <row r="34" spans="1:46" x14ac:dyDescent="0.25">
      <c r="A34" s="10" t="str">
        <f t="shared" si="0"/>
        <v>Well-1</v>
      </c>
      <c r="B34" s="10" t="str">
        <f t="shared" si="1"/>
        <v>Exploratorio</v>
      </c>
      <c r="C34" s="10" t="str">
        <f t="shared" si="2"/>
        <v>Colombia</v>
      </c>
      <c r="D34" s="10" t="str">
        <f t="shared" si="3"/>
        <v>State</v>
      </c>
      <c r="E34" s="10" t="str">
        <f t="shared" si="4"/>
        <v>Ecopetrol</v>
      </c>
      <c r="F34" s="10" t="s">
        <v>246</v>
      </c>
      <c r="G34" s="16" t="str">
        <f t="shared" si="5"/>
        <v>24/5/2022</v>
      </c>
      <c r="H34" s="10">
        <v>7</v>
      </c>
      <c r="I34" s="10">
        <v>6.3659999999999997</v>
      </c>
      <c r="J34" s="10">
        <f t="shared" si="6"/>
        <v>0.31700000000000017</v>
      </c>
      <c r="K34" s="10">
        <v>33</v>
      </c>
      <c r="L34" s="13">
        <v>1256.335</v>
      </c>
      <c r="M34" s="13">
        <v>1295.9590000000001</v>
      </c>
      <c r="N34" s="13">
        <v>39.624000000000002</v>
      </c>
      <c r="O34" s="10">
        <v>6.3365001699999999</v>
      </c>
      <c r="P34" s="11">
        <v>1281</v>
      </c>
      <c r="Q34" s="12">
        <v>0.34050011600000002</v>
      </c>
      <c r="R34" s="12">
        <v>7.2376918799999999</v>
      </c>
      <c r="S34" s="12">
        <v>1256.3000500000001</v>
      </c>
      <c r="T34" s="12">
        <v>0.299209118</v>
      </c>
      <c r="U34" s="10">
        <v>6.4730000499999996</v>
      </c>
      <c r="V34" s="13">
        <v>1288</v>
      </c>
      <c r="W34" s="12">
        <v>0.263499975</v>
      </c>
      <c r="X34" s="12">
        <v>16.8769569</v>
      </c>
      <c r="Y34" s="17" t="str">
        <f t="shared" ref="Y34:Y65" si="28">IF((1-AO34)&lt;20%,"I",IF((1-AO34)&lt;40%,"II",IF((1-AO34)&lt;60%,"III",IF((1-AO34)&lt;80%,"IV","V"))))</f>
        <v>I</v>
      </c>
      <c r="Z34" s="17">
        <f t="shared" si="8"/>
        <v>16.876979495268184</v>
      </c>
      <c r="AA34" s="17">
        <f t="shared" si="9"/>
        <v>2.1541841132784123</v>
      </c>
      <c r="AB34" s="17">
        <f t="shared" si="10"/>
        <v>1.5906373281135755</v>
      </c>
      <c r="AC34" s="17">
        <f t="shared" si="11"/>
        <v>0.83123020504731815</v>
      </c>
      <c r="AD34" s="17">
        <f t="shared" si="12"/>
        <v>0.94546813359432125</v>
      </c>
      <c r="AE34" s="17">
        <f t="shared" si="13"/>
        <v>0.79</v>
      </c>
      <c r="AF34" s="17">
        <v>6340</v>
      </c>
      <c r="AG34" s="17">
        <v>3830</v>
      </c>
      <c r="AH34" s="17">
        <f t="shared" si="14"/>
        <v>1.74874938E-2</v>
      </c>
      <c r="AI34" s="17">
        <f t="shared" si="15"/>
        <v>5269.9994999999972</v>
      </c>
      <c r="AJ34" s="17">
        <f t="shared" si="16"/>
        <v>3025.7000000000003</v>
      </c>
      <c r="AK34" s="17">
        <v>1.74874938</v>
      </c>
      <c r="AL34" s="17">
        <v>1274.1999499999999</v>
      </c>
      <c r="AM34" s="20" t="str">
        <f t="shared" si="17"/>
        <v>I</v>
      </c>
      <c r="AN34" s="20"/>
      <c r="AO34" s="18">
        <f t="shared" ref="AO34:AO65" si="29">((100*W34)/J34)%</f>
        <v>0.83123020504731815</v>
      </c>
      <c r="AP34" s="10" t="str">
        <f t="shared" ref="AP34:AP65" si="30">IF(Y34="I","Daño del 0-15%",IF(Y34="II","Daño del 15-25%",IF(Y34="III","Daño del 25-50%","Daño del 50-100%")))</f>
        <v>Daño del 0-15%</v>
      </c>
      <c r="AQ34" s="19" t="str">
        <f t="shared" ca="1" si="24"/>
        <v>D:\1. Pozos\11. Noviembre\4. DT-96\images\sec_max_pen_T33.png</v>
      </c>
      <c r="AR34" s="19" t="str">
        <f t="shared" ca="1" si="25"/>
        <v>D:\1. Pozos\11. Noviembre\4. DT-96\images\sec_max_res_T33.png</v>
      </c>
      <c r="AS34" s="10" t="str">
        <f t="shared" ca="1" si="26"/>
        <v>D:\1. Pozos\11. Noviembre\4. DT-96\images\33.emf</v>
      </c>
      <c r="AT34" s="19" t="str">
        <f t="shared" ca="1" si="27"/>
        <v>D:\1. Pozos\11. Noviembre\4. DT-96\images\GraficaIntegradaT33.png</v>
      </c>
    </row>
    <row r="35" spans="1:46" x14ac:dyDescent="0.25">
      <c r="A35" s="10" t="str">
        <f t="shared" si="0"/>
        <v>Well-1</v>
      </c>
      <c r="B35" s="10" t="str">
        <f t="shared" si="1"/>
        <v>Exploratorio</v>
      </c>
      <c r="C35" s="10" t="str">
        <f t="shared" si="2"/>
        <v>Colombia</v>
      </c>
      <c r="D35" s="10" t="str">
        <f t="shared" si="3"/>
        <v>State</v>
      </c>
      <c r="E35" s="10" t="str">
        <f t="shared" si="4"/>
        <v>Ecopetrol</v>
      </c>
      <c r="F35" s="10" t="s">
        <v>246</v>
      </c>
      <c r="G35" s="16" t="str">
        <f t="shared" si="5"/>
        <v>24/5/2022</v>
      </c>
      <c r="H35" s="10">
        <v>7</v>
      </c>
      <c r="I35" s="10">
        <v>6.3659999999999997</v>
      </c>
      <c r="J35" s="10">
        <f t="shared" si="6"/>
        <v>0.31700000000000017</v>
      </c>
      <c r="K35" s="10">
        <v>34</v>
      </c>
      <c r="L35" s="13">
        <v>1297.4590000000001</v>
      </c>
      <c r="M35" s="13">
        <v>1335.539</v>
      </c>
      <c r="N35" s="13">
        <v>38.08</v>
      </c>
      <c r="O35" s="10">
        <v>6.3350005100000004</v>
      </c>
      <c r="P35" s="11">
        <v>1316.40002</v>
      </c>
      <c r="Q35" s="12">
        <v>0.34050011600000002</v>
      </c>
      <c r="R35" s="12">
        <v>5.8149371099999998</v>
      </c>
      <c r="S35" s="12">
        <v>1324.6999499999999</v>
      </c>
      <c r="T35" s="12">
        <v>0.30076646800000001</v>
      </c>
      <c r="U35" s="10">
        <v>6.4670000099999996</v>
      </c>
      <c r="V35" s="13">
        <v>1305.09998</v>
      </c>
      <c r="W35" s="12">
        <v>0.26649999600000002</v>
      </c>
      <c r="X35" s="12">
        <v>15.930577299999999</v>
      </c>
      <c r="Y35" s="17" t="str">
        <f t="shared" si="28"/>
        <v>I</v>
      </c>
      <c r="Z35" s="17">
        <f t="shared" si="8"/>
        <v>15.930600630914865</v>
      </c>
      <c r="AA35" s="17">
        <f t="shared" si="9"/>
        <v>2.0836541337547532</v>
      </c>
      <c r="AB35" s="17">
        <f t="shared" si="10"/>
        <v>1.5427469634094804</v>
      </c>
      <c r="AC35" s="17">
        <f t="shared" si="11"/>
        <v>0.84069399369085129</v>
      </c>
      <c r="AD35" s="17">
        <f t="shared" si="12"/>
        <v>0.947862651829526</v>
      </c>
      <c r="AE35" s="17">
        <f t="shared" si="13"/>
        <v>0.8</v>
      </c>
      <c r="AF35" s="17">
        <v>6340</v>
      </c>
      <c r="AG35" s="17">
        <v>3830</v>
      </c>
      <c r="AH35" s="17">
        <f t="shared" si="14"/>
        <v>1.8583709E-2</v>
      </c>
      <c r="AI35" s="17">
        <f t="shared" si="15"/>
        <v>5329.9999199999975</v>
      </c>
      <c r="AJ35" s="17">
        <f t="shared" si="16"/>
        <v>3064</v>
      </c>
      <c r="AK35" s="17">
        <v>1.8583708999999999</v>
      </c>
      <c r="AL35" s="17">
        <v>1316.40002</v>
      </c>
      <c r="AM35" s="20" t="str">
        <f t="shared" si="17"/>
        <v>I</v>
      </c>
      <c r="AN35" s="20"/>
      <c r="AO35" s="18">
        <f t="shared" si="29"/>
        <v>0.84069399369085129</v>
      </c>
      <c r="AP35" s="10" t="str">
        <f t="shared" si="30"/>
        <v>Daño del 0-15%</v>
      </c>
      <c r="AQ35" s="19" t="str">
        <f t="shared" ca="1" si="24"/>
        <v>D:\1. Pozos\11. Noviembre\4. DT-96\images\sec_max_pen_T34.png</v>
      </c>
      <c r="AR35" s="19" t="str">
        <f t="shared" ca="1" si="25"/>
        <v>D:\1. Pozos\11. Noviembre\4. DT-96\images\sec_max_res_T34.png</v>
      </c>
      <c r="AS35" s="10" t="str">
        <f t="shared" ca="1" si="26"/>
        <v>D:\1. Pozos\11. Noviembre\4. DT-96\images\34.emf</v>
      </c>
      <c r="AT35" s="19" t="str">
        <f t="shared" ca="1" si="27"/>
        <v>D:\1. Pozos\11. Noviembre\4. DT-96\images\GraficaIntegradaT34.png</v>
      </c>
    </row>
    <row r="36" spans="1:46" x14ac:dyDescent="0.25">
      <c r="A36" s="10" t="str">
        <f t="shared" si="0"/>
        <v>Well-1</v>
      </c>
      <c r="B36" s="10" t="str">
        <f t="shared" si="1"/>
        <v>Exploratorio</v>
      </c>
      <c r="C36" s="10" t="str">
        <f t="shared" si="2"/>
        <v>Colombia</v>
      </c>
      <c r="D36" s="10" t="str">
        <f t="shared" si="3"/>
        <v>State</v>
      </c>
      <c r="E36" s="10" t="str">
        <f t="shared" si="4"/>
        <v>Ecopetrol</v>
      </c>
      <c r="F36" s="10" t="s">
        <v>246</v>
      </c>
      <c r="G36" s="16" t="str">
        <f t="shared" si="5"/>
        <v>24/5/2022</v>
      </c>
      <c r="H36" s="10">
        <v>7</v>
      </c>
      <c r="I36" s="10">
        <v>6.3659999999999997</v>
      </c>
      <c r="J36" s="10">
        <f t="shared" si="6"/>
        <v>0.31700000000000017</v>
      </c>
      <c r="K36" s="10">
        <v>35</v>
      </c>
      <c r="L36" s="13">
        <v>1337.039</v>
      </c>
      <c r="M36" s="13">
        <v>1376.856</v>
      </c>
      <c r="N36" s="13">
        <v>39.817</v>
      </c>
      <c r="O36" s="10">
        <v>6.3240003600000003</v>
      </c>
      <c r="P36" s="11">
        <v>1375.3000500000001</v>
      </c>
      <c r="Q36" s="12">
        <v>0.345999956</v>
      </c>
      <c r="R36" s="12">
        <v>4.8073239299999999</v>
      </c>
      <c r="S36" s="12">
        <v>1351.59998</v>
      </c>
      <c r="T36" s="12">
        <v>0.30660581599999998</v>
      </c>
      <c r="U36" s="10">
        <v>6.4770002399999997</v>
      </c>
      <c r="V36" s="13">
        <v>1338.5</v>
      </c>
      <c r="W36" s="12">
        <v>0.26149988200000002</v>
      </c>
      <c r="X36" s="12">
        <v>17.507900200000002</v>
      </c>
      <c r="Y36" s="17" t="str">
        <f t="shared" si="28"/>
        <v>I</v>
      </c>
      <c r="Z36" s="17">
        <f t="shared" si="8"/>
        <v>17.507923659306034</v>
      </c>
      <c r="AA36" s="17">
        <f t="shared" si="9"/>
        <v>2.4193528034524014</v>
      </c>
      <c r="AB36" s="17">
        <f t="shared" si="10"/>
        <v>1.7061027808037643</v>
      </c>
      <c r="AC36" s="17">
        <f t="shared" si="11"/>
        <v>0.82492076340693965</v>
      </c>
      <c r="AD36" s="17">
        <f t="shared" si="12"/>
        <v>0.93969486095981181</v>
      </c>
      <c r="AE36" s="17">
        <f t="shared" si="13"/>
        <v>0.78</v>
      </c>
      <c r="AF36" s="17">
        <v>6340</v>
      </c>
      <c r="AG36" s="17">
        <v>3830</v>
      </c>
      <c r="AH36" s="17">
        <f t="shared" si="14"/>
        <v>1.6066163799999998E-2</v>
      </c>
      <c r="AI36" s="17">
        <f t="shared" si="15"/>
        <v>5229.9976399999978</v>
      </c>
      <c r="AJ36" s="17">
        <f t="shared" si="16"/>
        <v>2987.4</v>
      </c>
      <c r="AK36" s="17">
        <v>1.60661638</v>
      </c>
      <c r="AL36" s="17">
        <v>1338.5</v>
      </c>
      <c r="AM36" s="20" t="str">
        <f t="shared" si="17"/>
        <v>I</v>
      </c>
      <c r="AN36" s="20"/>
      <c r="AO36" s="18">
        <f t="shared" si="29"/>
        <v>0.82492076340693965</v>
      </c>
      <c r="AP36" s="10" t="str">
        <f t="shared" si="30"/>
        <v>Daño del 0-15%</v>
      </c>
      <c r="AQ36" s="19" t="str">
        <f t="shared" ca="1" si="24"/>
        <v>D:\1. Pozos\11. Noviembre\4. DT-96\images\sec_max_pen_T35.png</v>
      </c>
      <c r="AR36" s="19" t="str">
        <f t="shared" ca="1" si="25"/>
        <v>D:\1. Pozos\11. Noviembre\4. DT-96\images\sec_max_res_T35.png</v>
      </c>
      <c r="AS36" s="10" t="str">
        <f t="shared" ca="1" si="26"/>
        <v>D:\1. Pozos\11. Noviembre\4. DT-96\images\35.emf</v>
      </c>
      <c r="AT36" s="19" t="str">
        <f t="shared" ca="1" si="27"/>
        <v>D:\1. Pozos\11. Noviembre\4. DT-96\images\GraficaIntegradaT35.png</v>
      </c>
    </row>
    <row r="37" spans="1:46" x14ac:dyDescent="0.25">
      <c r="A37" s="10" t="str">
        <f t="shared" si="0"/>
        <v>Well-1</v>
      </c>
      <c r="B37" s="10" t="str">
        <f t="shared" si="1"/>
        <v>Exploratorio</v>
      </c>
      <c r="C37" s="10" t="str">
        <f t="shared" si="2"/>
        <v>Colombia</v>
      </c>
      <c r="D37" s="10" t="str">
        <f t="shared" si="3"/>
        <v>State</v>
      </c>
      <c r="E37" s="10" t="str">
        <f t="shared" si="4"/>
        <v>Ecopetrol</v>
      </c>
      <c r="F37" s="10" t="s">
        <v>246</v>
      </c>
      <c r="G37" s="16" t="str">
        <f t="shared" si="5"/>
        <v>24/5/2022</v>
      </c>
      <c r="H37" s="10">
        <v>7</v>
      </c>
      <c r="I37" s="10">
        <v>6.3659999999999997</v>
      </c>
      <c r="J37" s="10">
        <f t="shared" si="6"/>
        <v>0.31700000000000017</v>
      </c>
      <c r="K37" s="10">
        <v>36</v>
      </c>
      <c r="L37" s="13">
        <v>1378.356</v>
      </c>
      <c r="M37" s="13">
        <v>1416.242</v>
      </c>
      <c r="N37" s="13">
        <v>37.886000000000003</v>
      </c>
      <c r="O37" s="10">
        <v>6.3280000699999999</v>
      </c>
      <c r="P37" s="11">
        <v>1387.90002</v>
      </c>
      <c r="Q37" s="12">
        <v>0.34299993499999998</v>
      </c>
      <c r="R37" s="12">
        <v>7.4213671699999999</v>
      </c>
      <c r="S37" s="12">
        <v>1414.3000500000001</v>
      </c>
      <c r="T37" s="12">
        <v>0.29842042899999999</v>
      </c>
      <c r="U37" s="10">
        <v>6.48899984</v>
      </c>
      <c r="V37" s="13">
        <v>1400.09998</v>
      </c>
      <c r="W37" s="12">
        <v>0.25550007800000002</v>
      </c>
      <c r="X37" s="12">
        <v>19.400583300000001</v>
      </c>
      <c r="Y37" s="17" t="str">
        <f t="shared" si="28"/>
        <v>I</v>
      </c>
      <c r="Z37" s="17">
        <f t="shared" si="8"/>
        <v>19.400606309148301</v>
      </c>
      <c r="AA37" s="17">
        <f t="shared" si="9"/>
        <v>2.5442441248266334</v>
      </c>
      <c r="AB37" s="17">
        <f t="shared" si="10"/>
        <v>1.865983212607647</v>
      </c>
      <c r="AC37" s="17">
        <f t="shared" si="11"/>
        <v>0.80599393690851695</v>
      </c>
      <c r="AD37" s="17">
        <f t="shared" si="12"/>
        <v>0.93170083936961767</v>
      </c>
      <c r="AE37" s="17">
        <f t="shared" si="13"/>
        <v>0.75</v>
      </c>
      <c r="AF37" s="17">
        <v>6340</v>
      </c>
      <c r="AG37" s="17">
        <v>3830</v>
      </c>
      <c r="AH37" s="17">
        <f t="shared" si="14"/>
        <v>2.08960152E-2</v>
      </c>
      <c r="AI37" s="17">
        <f t="shared" si="15"/>
        <v>5110.0015599999979</v>
      </c>
      <c r="AJ37" s="17">
        <f t="shared" si="16"/>
        <v>2872.5</v>
      </c>
      <c r="AK37" s="17">
        <v>2.08960152</v>
      </c>
      <c r="AL37" s="17">
        <v>1387.6999499999999</v>
      </c>
      <c r="AM37" s="20" t="str">
        <f t="shared" si="17"/>
        <v>II</v>
      </c>
      <c r="AN37" s="20"/>
      <c r="AO37" s="18">
        <f t="shared" si="29"/>
        <v>0.80599393690851695</v>
      </c>
      <c r="AP37" s="10" t="str">
        <f t="shared" si="30"/>
        <v>Daño del 0-15%</v>
      </c>
      <c r="AQ37" s="19" t="str">
        <f t="shared" ca="1" si="24"/>
        <v>D:\1. Pozos\11. Noviembre\4. DT-96\images\sec_max_pen_T36.png</v>
      </c>
      <c r="AR37" s="19" t="str">
        <f t="shared" ca="1" si="25"/>
        <v>D:\1. Pozos\11. Noviembre\4. DT-96\images\sec_max_res_T36.png</v>
      </c>
      <c r="AS37" s="10" t="str">
        <f t="shared" ca="1" si="26"/>
        <v>D:\1. Pozos\11. Noviembre\4. DT-96\images\36.emf</v>
      </c>
      <c r="AT37" s="19" t="str">
        <f t="shared" ca="1" si="27"/>
        <v>D:\1. Pozos\11. Noviembre\4. DT-96\images\GraficaIntegradaT36.png</v>
      </c>
    </row>
    <row r="38" spans="1:46" x14ac:dyDescent="0.25">
      <c r="A38" s="10" t="str">
        <f t="shared" si="0"/>
        <v>Well-1</v>
      </c>
      <c r="B38" s="10" t="str">
        <f t="shared" si="1"/>
        <v>Exploratorio</v>
      </c>
      <c r="C38" s="10" t="str">
        <f t="shared" si="2"/>
        <v>Colombia</v>
      </c>
      <c r="D38" s="10" t="str">
        <f t="shared" si="3"/>
        <v>State</v>
      </c>
      <c r="E38" s="10" t="str">
        <f t="shared" si="4"/>
        <v>Ecopetrol</v>
      </c>
      <c r="F38" s="10" t="s">
        <v>246</v>
      </c>
      <c r="G38" s="16" t="str">
        <f t="shared" si="5"/>
        <v>24/5/2022</v>
      </c>
      <c r="H38" s="10">
        <v>7</v>
      </c>
      <c r="I38" s="10">
        <v>6.3659999999999997</v>
      </c>
      <c r="J38" s="10">
        <f t="shared" si="6"/>
        <v>0.31700000000000017</v>
      </c>
      <c r="K38" s="10">
        <v>37</v>
      </c>
      <c r="L38" s="13">
        <v>1417.742</v>
      </c>
      <c r="M38" s="13">
        <v>1457.1510000000001</v>
      </c>
      <c r="N38" s="13">
        <v>39.408999999999999</v>
      </c>
      <c r="O38" s="10">
        <v>6.3100004199999997</v>
      </c>
      <c r="P38" s="11">
        <v>1432.8000500000001</v>
      </c>
      <c r="Q38" s="12">
        <v>0.349999905</v>
      </c>
      <c r="R38" s="12">
        <v>9.1867961900000008</v>
      </c>
      <c r="S38" s="12">
        <v>1417.6999499999999</v>
      </c>
      <c r="T38" s="12">
        <v>0.29858493800000002</v>
      </c>
      <c r="U38" s="10">
        <v>6.5050001100000001</v>
      </c>
      <c r="V38" s="13">
        <v>1433.1999499999999</v>
      </c>
      <c r="W38" s="12">
        <v>0.247499943</v>
      </c>
      <c r="X38" s="12">
        <v>21.924285900000001</v>
      </c>
      <c r="Y38" s="17" t="str">
        <f t="shared" si="28"/>
        <v>II</v>
      </c>
      <c r="Z38" s="17">
        <f t="shared" si="8"/>
        <v>21.924308201892785</v>
      </c>
      <c r="AA38" s="17">
        <f t="shared" si="9"/>
        <v>3.0903276865392071</v>
      </c>
      <c r="AB38" s="17">
        <f t="shared" si="10"/>
        <v>2.280739864039516</v>
      </c>
      <c r="AC38" s="17">
        <f t="shared" si="11"/>
        <v>0.78075691798107216</v>
      </c>
      <c r="AD38" s="17">
        <f t="shared" si="12"/>
        <v>0.91096300679802422</v>
      </c>
      <c r="AE38" s="17">
        <f t="shared" si="13"/>
        <v>0.71</v>
      </c>
      <c r="AF38" s="17">
        <v>6340</v>
      </c>
      <c r="AG38" s="17">
        <v>3830</v>
      </c>
      <c r="AH38" s="17">
        <f t="shared" si="14"/>
        <v>2.7345256799999999E-2</v>
      </c>
      <c r="AI38" s="17">
        <f t="shared" si="15"/>
        <v>4949.9988599999979</v>
      </c>
      <c r="AJ38" s="17">
        <f t="shared" si="16"/>
        <v>2719.2999999999997</v>
      </c>
      <c r="AK38" s="17">
        <v>2.73452568</v>
      </c>
      <c r="AL38" s="17">
        <v>1433.09998</v>
      </c>
      <c r="AM38" s="20" t="str">
        <f t="shared" si="17"/>
        <v>II</v>
      </c>
      <c r="AN38" s="20"/>
      <c r="AO38" s="18">
        <f t="shared" si="29"/>
        <v>0.78075691798107216</v>
      </c>
      <c r="AP38" s="10" t="str">
        <f t="shared" si="30"/>
        <v>Daño del 15-25%</v>
      </c>
      <c r="AQ38" s="19" t="str">
        <f t="shared" ca="1" si="24"/>
        <v>D:\1. Pozos\11. Noviembre\4. DT-96\images\sec_max_pen_T37.png</v>
      </c>
      <c r="AR38" s="19" t="str">
        <f t="shared" ca="1" si="25"/>
        <v>D:\1. Pozos\11. Noviembre\4. DT-96\images\sec_max_res_T37.png</v>
      </c>
      <c r="AS38" s="10" t="str">
        <f t="shared" ca="1" si="26"/>
        <v>D:\1. Pozos\11. Noviembre\4. DT-96\images\37.emf</v>
      </c>
      <c r="AT38" s="19" t="str">
        <f t="shared" ca="1" si="27"/>
        <v>D:\1. Pozos\11. Noviembre\4. DT-96\images\GraficaIntegradaT37.png</v>
      </c>
    </row>
    <row r="39" spans="1:46" x14ac:dyDescent="0.25">
      <c r="A39" s="10" t="str">
        <f t="shared" si="0"/>
        <v>Well-1</v>
      </c>
      <c r="B39" s="10" t="str">
        <f t="shared" si="1"/>
        <v>Exploratorio</v>
      </c>
      <c r="C39" s="10" t="str">
        <f t="shared" si="2"/>
        <v>Colombia</v>
      </c>
      <c r="D39" s="10" t="str">
        <f t="shared" si="3"/>
        <v>State</v>
      </c>
      <c r="E39" s="10" t="str">
        <f t="shared" si="4"/>
        <v>Ecopetrol</v>
      </c>
      <c r="F39" s="10" t="s">
        <v>246</v>
      </c>
      <c r="G39" s="16" t="str">
        <f t="shared" si="5"/>
        <v>24/5/2022</v>
      </c>
      <c r="H39" s="10">
        <v>7</v>
      </c>
      <c r="I39" s="10">
        <v>6.3659999999999997</v>
      </c>
      <c r="J39" s="10">
        <f t="shared" si="6"/>
        <v>0.31700000000000017</v>
      </c>
      <c r="K39" s="10">
        <v>38</v>
      </c>
      <c r="L39" s="13">
        <v>1459.2529999999999</v>
      </c>
      <c r="M39" s="13">
        <v>1497.3320000000001</v>
      </c>
      <c r="N39" s="13">
        <v>38.08</v>
      </c>
      <c r="O39" s="10">
        <v>6.3135003999999997</v>
      </c>
      <c r="P39" s="11">
        <v>1480.1999499999999</v>
      </c>
      <c r="Q39" s="12">
        <v>0.349999905</v>
      </c>
      <c r="R39" s="12">
        <v>7.4013638500000001</v>
      </c>
      <c r="S39" s="12">
        <v>1461</v>
      </c>
      <c r="T39" s="12">
        <v>0.29860567999999998</v>
      </c>
      <c r="U39" s="10">
        <v>6.4959998099999998</v>
      </c>
      <c r="V39" s="13">
        <v>1480.09998</v>
      </c>
      <c r="W39" s="12">
        <v>0.25200009299999998</v>
      </c>
      <c r="X39" s="12">
        <v>20.5046806</v>
      </c>
      <c r="Y39" s="17" t="str">
        <f t="shared" si="28"/>
        <v>II</v>
      </c>
      <c r="Z39" s="17">
        <f t="shared" si="8"/>
        <v>20.504702523659354</v>
      </c>
      <c r="AA39" s="17">
        <f t="shared" si="9"/>
        <v>2.890621658945336</v>
      </c>
      <c r="AB39" s="17">
        <f t="shared" si="10"/>
        <v>2.1524323178945259</v>
      </c>
      <c r="AC39" s="17">
        <f t="shared" si="11"/>
        <v>0.79495297476340654</v>
      </c>
      <c r="AD39" s="17">
        <f t="shared" si="12"/>
        <v>0.91737838410527373</v>
      </c>
      <c r="AE39" s="17">
        <f t="shared" si="13"/>
        <v>0.73</v>
      </c>
      <c r="AF39" s="17">
        <v>6340</v>
      </c>
      <c r="AG39" s="17">
        <v>3830</v>
      </c>
      <c r="AH39" s="17">
        <f t="shared" si="14"/>
        <v>2.5823388100000001E-2</v>
      </c>
      <c r="AI39" s="17">
        <f t="shared" si="15"/>
        <v>5040.0018599999976</v>
      </c>
      <c r="AJ39" s="17">
        <f t="shared" si="16"/>
        <v>2795.9</v>
      </c>
      <c r="AK39" s="17">
        <v>2.58233881</v>
      </c>
      <c r="AL39" s="17">
        <v>1480.1999499999999</v>
      </c>
      <c r="AM39" s="20" t="str">
        <f t="shared" si="17"/>
        <v>II</v>
      </c>
      <c r="AN39" s="20"/>
      <c r="AO39" s="18">
        <f t="shared" si="29"/>
        <v>0.79495297476340643</v>
      </c>
      <c r="AP39" s="10" t="str">
        <f t="shared" si="30"/>
        <v>Daño del 15-25%</v>
      </c>
      <c r="AQ39" s="19" t="str">
        <f t="shared" ca="1" si="24"/>
        <v>D:\1. Pozos\11. Noviembre\4. DT-96\images\sec_max_pen_T38.png</v>
      </c>
      <c r="AR39" s="19" t="str">
        <f t="shared" ca="1" si="25"/>
        <v>D:\1. Pozos\11. Noviembre\4. DT-96\images\sec_max_res_T38.png</v>
      </c>
      <c r="AS39" s="10" t="str">
        <f t="shared" ca="1" si="26"/>
        <v>D:\1. Pozos\11. Noviembre\4. DT-96\images\38.emf</v>
      </c>
      <c r="AT39" s="19" t="str">
        <f t="shared" ca="1" si="27"/>
        <v>D:\1. Pozos\11. Noviembre\4. DT-96\images\GraficaIntegradaT38.png</v>
      </c>
    </row>
    <row r="40" spans="1:46" x14ac:dyDescent="0.25">
      <c r="A40" s="10" t="str">
        <f t="shared" si="0"/>
        <v>Well-1</v>
      </c>
      <c r="B40" s="10" t="str">
        <f t="shared" si="1"/>
        <v>Exploratorio</v>
      </c>
      <c r="C40" s="10" t="str">
        <f t="shared" si="2"/>
        <v>Colombia</v>
      </c>
      <c r="D40" s="10" t="str">
        <f t="shared" si="3"/>
        <v>State</v>
      </c>
      <c r="E40" s="10" t="str">
        <f t="shared" si="4"/>
        <v>Ecopetrol</v>
      </c>
      <c r="F40" s="10" t="s">
        <v>246</v>
      </c>
      <c r="G40" s="16" t="str">
        <f t="shared" si="5"/>
        <v>24/5/2022</v>
      </c>
      <c r="H40" s="10">
        <v>7</v>
      </c>
      <c r="I40" s="10">
        <v>6.3659999999999997</v>
      </c>
      <c r="J40" s="10">
        <f t="shared" si="6"/>
        <v>0.31700000000000017</v>
      </c>
      <c r="K40" s="10">
        <v>39</v>
      </c>
      <c r="L40" s="13">
        <v>1498.8320000000001</v>
      </c>
      <c r="M40" s="13">
        <v>1538.048</v>
      </c>
      <c r="N40" s="13">
        <v>39.216000000000001</v>
      </c>
      <c r="O40" s="10">
        <v>6.2955002799999997</v>
      </c>
      <c r="P40" s="11">
        <v>1530.8000500000001</v>
      </c>
      <c r="Q40" s="12">
        <v>0.357500076</v>
      </c>
      <c r="R40" s="12">
        <v>7.0911607700000001</v>
      </c>
      <c r="S40" s="12">
        <v>1530.8000500000001</v>
      </c>
      <c r="T40" s="12">
        <v>0.30270171200000001</v>
      </c>
      <c r="U40" s="10">
        <v>6.5130000099999998</v>
      </c>
      <c r="V40" s="13">
        <v>1537.1999499999999</v>
      </c>
      <c r="W40" s="12">
        <v>0.243499994</v>
      </c>
      <c r="X40" s="12">
        <v>23.1861</v>
      </c>
      <c r="Y40" s="17" t="str">
        <f t="shared" si="28"/>
        <v>II</v>
      </c>
      <c r="Z40" s="17">
        <f t="shared" si="8"/>
        <v>23.186121766561556</v>
      </c>
      <c r="AA40" s="17">
        <f t="shared" si="9"/>
        <v>3.4548442590173423</v>
      </c>
      <c r="AB40" s="17">
        <f t="shared" si="10"/>
        <v>2.5144627902391248</v>
      </c>
      <c r="AC40" s="17">
        <f t="shared" si="11"/>
        <v>0.76813878233438448</v>
      </c>
      <c r="AD40" s="17">
        <f t="shared" si="12"/>
        <v>0.89927686048804378</v>
      </c>
      <c r="AE40" s="17">
        <f t="shared" si="13"/>
        <v>0.69</v>
      </c>
      <c r="AF40" s="17">
        <v>6340</v>
      </c>
      <c r="AG40" s="17">
        <v>3830</v>
      </c>
      <c r="AH40" s="17">
        <f t="shared" si="14"/>
        <v>3.2843918799999997E-2</v>
      </c>
      <c r="AI40" s="17">
        <f t="shared" si="15"/>
        <v>4869.9998799999976</v>
      </c>
      <c r="AJ40" s="17">
        <f t="shared" si="16"/>
        <v>2642.7</v>
      </c>
      <c r="AK40" s="17">
        <v>3.2843918799999998</v>
      </c>
      <c r="AL40" s="17">
        <v>1530.8000500000001</v>
      </c>
      <c r="AM40" s="20" t="str">
        <f t="shared" si="17"/>
        <v>II</v>
      </c>
      <c r="AN40" s="20"/>
      <c r="AO40" s="18">
        <f t="shared" si="29"/>
        <v>0.76813878233438448</v>
      </c>
      <c r="AP40" s="10" t="str">
        <f t="shared" si="30"/>
        <v>Daño del 15-25%</v>
      </c>
      <c r="AQ40" s="19" t="str">
        <f t="shared" ca="1" si="24"/>
        <v>D:\1. Pozos\11. Noviembre\4. DT-96\images\sec_max_pen_T39.png</v>
      </c>
      <c r="AR40" s="19" t="str">
        <f t="shared" ca="1" si="25"/>
        <v>D:\1. Pozos\11. Noviembre\4. DT-96\images\sec_max_res_T39.png</v>
      </c>
      <c r="AS40" s="10" t="str">
        <f t="shared" ca="1" si="26"/>
        <v>D:\1. Pozos\11. Noviembre\4. DT-96\images\39.emf</v>
      </c>
      <c r="AT40" s="19" t="str">
        <f t="shared" ca="1" si="27"/>
        <v>D:\1. Pozos\11. Noviembre\4. DT-96\images\GraficaIntegradaT39.png</v>
      </c>
    </row>
    <row r="41" spans="1:46" x14ac:dyDescent="0.25">
      <c r="A41" s="10" t="str">
        <f t="shared" si="0"/>
        <v>Well-1</v>
      </c>
      <c r="B41" s="10" t="str">
        <f t="shared" si="1"/>
        <v>Exploratorio</v>
      </c>
      <c r="C41" s="10" t="str">
        <f t="shared" si="2"/>
        <v>Colombia</v>
      </c>
      <c r="D41" s="10" t="str">
        <f t="shared" si="3"/>
        <v>State</v>
      </c>
      <c r="E41" s="10" t="str">
        <f t="shared" si="4"/>
        <v>Ecopetrol</v>
      </c>
      <c r="F41" s="10" t="s">
        <v>246</v>
      </c>
      <c r="G41" s="16" t="str">
        <f t="shared" si="5"/>
        <v>24/5/2022</v>
      </c>
      <c r="H41" s="10">
        <v>7</v>
      </c>
      <c r="I41" s="10">
        <v>6.3659999999999997</v>
      </c>
      <c r="J41" s="10">
        <f t="shared" si="6"/>
        <v>0.31700000000000017</v>
      </c>
      <c r="K41" s="10">
        <v>40</v>
      </c>
      <c r="L41" s="13">
        <v>1540.3420000000001</v>
      </c>
      <c r="M41" s="13">
        <v>1581.125</v>
      </c>
      <c r="N41" s="13">
        <v>40.783000000000001</v>
      </c>
      <c r="O41" s="10">
        <v>6.3045001000000003</v>
      </c>
      <c r="P41" s="11">
        <v>1573.6999499999999</v>
      </c>
      <c r="Q41" s="12">
        <v>0.38199996899999999</v>
      </c>
      <c r="R41" s="12">
        <v>5.9092020999999999</v>
      </c>
      <c r="S41" s="12">
        <v>1557.90002</v>
      </c>
      <c r="T41" s="12">
        <v>0.30347514199999998</v>
      </c>
      <c r="U41" s="10">
        <v>6.4819998700000001</v>
      </c>
      <c r="V41" s="13">
        <v>1557.8000500000001</v>
      </c>
      <c r="W41" s="12">
        <v>0.259000063</v>
      </c>
      <c r="X41" s="12">
        <v>18.296487800000001</v>
      </c>
      <c r="Y41" s="17" t="str">
        <f t="shared" si="28"/>
        <v>I</v>
      </c>
      <c r="Z41" s="17">
        <f t="shared" si="8"/>
        <v>18.296510094637267</v>
      </c>
      <c r="AA41" s="17">
        <f t="shared" si="9"/>
        <v>2.8154455894131791</v>
      </c>
      <c r="AB41" s="17">
        <f t="shared" si="10"/>
        <v>2.109995858355207</v>
      </c>
      <c r="AC41" s="17">
        <f t="shared" si="11"/>
        <v>0.81703489905362725</v>
      </c>
      <c r="AD41" s="17">
        <f t="shared" si="12"/>
        <v>0.91950020708223967</v>
      </c>
      <c r="AE41" s="17">
        <f t="shared" si="13"/>
        <v>0.75</v>
      </c>
      <c r="AF41" s="17">
        <v>6340</v>
      </c>
      <c r="AG41" s="17">
        <v>3830</v>
      </c>
      <c r="AH41" s="17">
        <f t="shared" si="14"/>
        <v>2.0219709899999997E-2</v>
      </c>
      <c r="AI41" s="17">
        <f t="shared" si="15"/>
        <v>5180.0012599999964</v>
      </c>
      <c r="AJ41" s="17">
        <f t="shared" si="16"/>
        <v>2872.5</v>
      </c>
      <c r="AK41" s="17">
        <v>2.0219709899999998</v>
      </c>
      <c r="AL41" s="17">
        <v>1558</v>
      </c>
      <c r="AM41" s="20" t="str">
        <f t="shared" si="17"/>
        <v>II</v>
      </c>
      <c r="AN41" s="20"/>
      <c r="AO41" s="18">
        <f t="shared" si="29"/>
        <v>0.81703489905362725</v>
      </c>
      <c r="AP41" s="10" t="str">
        <f t="shared" si="30"/>
        <v>Daño del 0-15%</v>
      </c>
      <c r="AQ41" s="19" t="str">
        <f t="shared" ca="1" si="24"/>
        <v>D:\1. Pozos\11. Noviembre\4. DT-96\images\sec_max_pen_T40.png</v>
      </c>
      <c r="AR41" s="19" t="str">
        <f t="shared" ca="1" si="25"/>
        <v>D:\1. Pozos\11. Noviembre\4. DT-96\images\sec_max_res_T40.png</v>
      </c>
      <c r="AS41" s="10" t="str">
        <f t="shared" ca="1" si="26"/>
        <v>D:\1. Pozos\11. Noviembre\4. DT-96\images\40.emf</v>
      </c>
      <c r="AT41" s="19" t="str">
        <f t="shared" ca="1" si="27"/>
        <v>D:\1. Pozos\11. Noviembre\4. DT-96\images\GraficaIntegradaT40.png</v>
      </c>
    </row>
    <row r="42" spans="1:46" x14ac:dyDescent="0.25">
      <c r="A42" s="10" t="str">
        <f t="shared" si="0"/>
        <v>Well-1</v>
      </c>
      <c r="B42" s="10" t="str">
        <f t="shared" si="1"/>
        <v>Exploratorio</v>
      </c>
      <c r="C42" s="10" t="str">
        <f t="shared" si="2"/>
        <v>Colombia</v>
      </c>
      <c r="D42" s="10" t="str">
        <f t="shared" si="3"/>
        <v>State</v>
      </c>
      <c r="E42" s="10" t="str">
        <f t="shared" si="4"/>
        <v>Ecopetrol</v>
      </c>
      <c r="F42" s="10" t="s">
        <v>246</v>
      </c>
      <c r="G42" s="16" t="str">
        <f t="shared" si="5"/>
        <v>24/5/2022</v>
      </c>
      <c r="H42" s="10">
        <v>7</v>
      </c>
      <c r="I42" s="10">
        <v>6.3659999999999997</v>
      </c>
      <c r="J42" s="10">
        <f t="shared" si="6"/>
        <v>0.31700000000000017</v>
      </c>
      <c r="K42" s="10">
        <v>41</v>
      </c>
      <c r="L42" s="13">
        <v>1582.625</v>
      </c>
      <c r="M42" s="13">
        <v>1622.442</v>
      </c>
      <c r="N42" s="13">
        <v>39.817</v>
      </c>
      <c r="O42" s="10">
        <v>6.2735004400000003</v>
      </c>
      <c r="P42" s="11">
        <v>1621.6999499999999</v>
      </c>
      <c r="Q42" s="12">
        <v>0.36649990100000002</v>
      </c>
      <c r="R42" s="12">
        <v>7.7077522299999996</v>
      </c>
      <c r="S42" s="12">
        <v>1621.59998</v>
      </c>
      <c r="T42" s="12">
        <v>0.300924778</v>
      </c>
      <c r="U42" s="10">
        <v>6.5300002099999999</v>
      </c>
      <c r="V42" s="13">
        <v>1621.59998</v>
      </c>
      <c r="W42" s="12">
        <v>0.23499989499999999</v>
      </c>
      <c r="X42" s="12">
        <v>25.8675213</v>
      </c>
      <c r="Y42" s="17" t="str">
        <f t="shared" si="28"/>
        <v>II</v>
      </c>
      <c r="Z42" s="17">
        <f t="shared" si="8"/>
        <v>25.867541009463768</v>
      </c>
      <c r="AA42" s="17">
        <f t="shared" si="9"/>
        <v>4.0886228103938604</v>
      </c>
      <c r="AB42" s="17">
        <f t="shared" si="10"/>
        <v>3.037775940603904</v>
      </c>
      <c r="AC42" s="17">
        <f t="shared" si="11"/>
        <v>0.74132458990536232</v>
      </c>
      <c r="AD42" s="17">
        <f t="shared" si="12"/>
        <v>0.87311120296980482</v>
      </c>
      <c r="AE42" s="17">
        <f t="shared" si="13"/>
        <v>0.65</v>
      </c>
      <c r="AF42" s="17">
        <v>6340</v>
      </c>
      <c r="AG42" s="17">
        <v>3830</v>
      </c>
      <c r="AH42" s="17">
        <f t="shared" si="14"/>
        <v>3.7471303900000003E-2</v>
      </c>
      <c r="AI42" s="17">
        <f t="shared" si="15"/>
        <v>4699.9978999999967</v>
      </c>
      <c r="AJ42" s="17">
        <f t="shared" si="16"/>
        <v>2489.5</v>
      </c>
      <c r="AK42" s="17">
        <v>3.7471303900000001</v>
      </c>
      <c r="AL42" s="17">
        <v>1621.59998</v>
      </c>
      <c r="AM42" s="20" t="str">
        <f t="shared" si="17"/>
        <v>II</v>
      </c>
      <c r="AN42" s="20"/>
      <c r="AO42" s="18">
        <f t="shared" si="29"/>
        <v>0.74132458990536232</v>
      </c>
      <c r="AP42" s="10" t="str">
        <f t="shared" si="30"/>
        <v>Daño del 15-25%</v>
      </c>
      <c r="AQ42" s="19" t="str">
        <f t="shared" ca="1" si="24"/>
        <v>D:\1. Pozos\11. Noviembre\4. DT-96\images\sec_max_pen_T41.png</v>
      </c>
      <c r="AR42" s="19" t="str">
        <f t="shared" ca="1" si="25"/>
        <v>D:\1. Pozos\11. Noviembre\4. DT-96\images\sec_max_res_T41.png</v>
      </c>
      <c r="AS42" s="10" t="str">
        <f t="shared" ca="1" si="26"/>
        <v>D:\1. Pozos\11. Noviembre\4. DT-96\images\41.emf</v>
      </c>
      <c r="AT42" s="19" t="str">
        <f t="shared" ca="1" si="27"/>
        <v>D:\1. Pozos\11. Noviembre\4. DT-96\images\GraficaIntegradaT41.png</v>
      </c>
    </row>
    <row r="43" spans="1:46" x14ac:dyDescent="0.25">
      <c r="A43" s="10" t="str">
        <f t="shared" si="0"/>
        <v>Well-1</v>
      </c>
      <c r="B43" s="10" t="str">
        <f t="shared" si="1"/>
        <v>Exploratorio</v>
      </c>
      <c r="C43" s="10" t="str">
        <f t="shared" si="2"/>
        <v>Colombia</v>
      </c>
      <c r="D43" s="10" t="str">
        <f t="shared" si="3"/>
        <v>State</v>
      </c>
      <c r="E43" s="10" t="str">
        <f t="shared" si="4"/>
        <v>Ecopetrol</v>
      </c>
      <c r="F43" s="10" t="s">
        <v>246</v>
      </c>
      <c r="G43" s="16" t="str">
        <f t="shared" si="5"/>
        <v>24/5/2022</v>
      </c>
      <c r="H43" s="10">
        <v>7</v>
      </c>
      <c r="I43" s="10">
        <v>6.3659999999999997</v>
      </c>
      <c r="J43" s="10">
        <f t="shared" si="6"/>
        <v>0.31700000000000017</v>
      </c>
      <c r="K43" s="10">
        <v>42</v>
      </c>
      <c r="L43" s="13">
        <v>1623.942</v>
      </c>
      <c r="M43" s="13">
        <v>1660.2840000000001</v>
      </c>
      <c r="N43" s="13">
        <v>36.341999999999999</v>
      </c>
      <c r="O43" s="10">
        <v>6.3325004600000003</v>
      </c>
      <c r="P43" s="11">
        <v>1629.1999499999999</v>
      </c>
      <c r="Q43" s="12">
        <v>0.34500002899999999</v>
      </c>
      <c r="R43" s="12">
        <v>6.3496031799999999</v>
      </c>
      <c r="S43" s="12">
        <v>1627.8000500000001</v>
      </c>
      <c r="T43" s="12">
        <v>0.29981708499999998</v>
      </c>
      <c r="U43" s="10">
        <v>6.4920001000000003</v>
      </c>
      <c r="V43" s="13">
        <v>1627.8000500000001</v>
      </c>
      <c r="W43" s="12">
        <v>0.253999949</v>
      </c>
      <c r="X43" s="12">
        <v>19.873811700000001</v>
      </c>
      <c r="Y43" s="17" t="str">
        <f t="shared" si="28"/>
        <v>I</v>
      </c>
      <c r="Z43" s="17">
        <f t="shared" si="8"/>
        <v>19.873833123028433</v>
      </c>
      <c r="AA43" s="17">
        <f t="shared" si="9"/>
        <v>2.5187465995067493</v>
      </c>
      <c r="AB43" s="17">
        <f t="shared" si="10"/>
        <v>1.7952229884243831</v>
      </c>
      <c r="AC43" s="17">
        <f t="shared" si="11"/>
        <v>0.80126166876971572</v>
      </c>
      <c r="AD43" s="17">
        <f t="shared" si="12"/>
        <v>0.93523885057878087</v>
      </c>
      <c r="AE43" s="17">
        <f t="shared" si="13"/>
        <v>0.75</v>
      </c>
      <c r="AF43" s="17">
        <v>6340</v>
      </c>
      <c r="AG43" s="17">
        <v>3830</v>
      </c>
      <c r="AH43" s="17">
        <f t="shared" si="14"/>
        <v>2.1288163700000001E-2</v>
      </c>
      <c r="AI43" s="17">
        <f t="shared" si="15"/>
        <v>5079.9989799999976</v>
      </c>
      <c r="AJ43" s="17">
        <f t="shared" si="16"/>
        <v>2872.5</v>
      </c>
      <c r="AK43" s="17">
        <v>2.12881637</v>
      </c>
      <c r="AL43" s="17">
        <v>1627.8000500000001</v>
      </c>
      <c r="AM43" s="20" t="str">
        <f t="shared" si="17"/>
        <v>II</v>
      </c>
      <c r="AN43" s="20"/>
      <c r="AO43" s="18">
        <f t="shared" si="29"/>
        <v>0.80126166876971572</v>
      </c>
      <c r="AP43" s="10" t="str">
        <f t="shared" si="30"/>
        <v>Daño del 0-15%</v>
      </c>
      <c r="AQ43" s="19" t="str">
        <f t="shared" ca="1" si="24"/>
        <v>D:\1. Pozos\11. Noviembre\4. DT-96\images\sec_max_pen_T42.png</v>
      </c>
      <c r="AR43" s="19" t="str">
        <f t="shared" ca="1" si="25"/>
        <v>D:\1. Pozos\11. Noviembre\4. DT-96\images\sec_max_res_T42.png</v>
      </c>
      <c r="AS43" s="10" t="str">
        <f t="shared" ca="1" si="26"/>
        <v>D:\1. Pozos\11. Noviembre\4. DT-96\images\42.emf</v>
      </c>
      <c r="AT43" s="19" t="str">
        <f t="shared" ca="1" si="27"/>
        <v>D:\1. Pozos\11. Noviembre\4. DT-96\images\GraficaIntegradaT42.png</v>
      </c>
    </row>
    <row r="44" spans="1:46" x14ac:dyDescent="0.25">
      <c r="A44" s="10" t="str">
        <f t="shared" si="0"/>
        <v>Well-1</v>
      </c>
      <c r="B44" s="10" t="str">
        <f t="shared" si="1"/>
        <v>Exploratorio</v>
      </c>
      <c r="C44" s="10" t="str">
        <f t="shared" si="2"/>
        <v>Colombia</v>
      </c>
      <c r="D44" s="10" t="str">
        <f t="shared" si="3"/>
        <v>State</v>
      </c>
      <c r="E44" s="10" t="str">
        <f t="shared" si="4"/>
        <v>Ecopetrol</v>
      </c>
      <c r="F44" s="10" t="s">
        <v>246</v>
      </c>
      <c r="G44" s="16" t="str">
        <f t="shared" si="5"/>
        <v>24/5/2022</v>
      </c>
      <c r="H44" s="10">
        <v>7</v>
      </c>
      <c r="I44" s="10">
        <v>6.3659999999999997</v>
      </c>
      <c r="J44" s="10">
        <f t="shared" si="6"/>
        <v>0.31700000000000017</v>
      </c>
      <c r="K44" s="10">
        <v>43</v>
      </c>
      <c r="L44" s="13">
        <v>1661.7840000000001</v>
      </c>
      <c r="M44" s="13">
        <v>1697.74</v>
      </c>
      <c r="N44" s="13">
        <v>35.956000000000003</v>
      </c>
      <c r="O44" s="10">
        <v>6.33550024</v>
      </c>
      <c r="P44" s="11">
        <v>1696.5</v>
      </c>
      <c r="Q44" s="12">
        <v>0.34549999199999998</v>
      </c>
      <c r="R44" s="12">
        <v>6.4303889300000003</v>
      </c>
      <c r="S44" s="12">
        <v>1669.8000500000001</v>
      </c>
      <c r="T44" s="12">
        <v>0.29819130900000002</v>
      </c>
      <c r="U44" s="10">
        <v>6.4899997699999998</v>
      </c>
      <c r="V44" s="13">
        <v>1696.40002</v>
      </c>
      <c r="W44" s="12">
        <v>0.255000114</v>
      </c>
      <c r="X44" s="12">
        <v>19.5583019</v>
      </c>
      <c r="Y44" s="17" t="str">
        <f t="shared" si="28"/>
        <v>I</v>
      </c>
      <c r="Z44" s="17">
        <f t="shared" si="8"/>
        <v>19.558323659306037</v>
      </c>
      <c r="AA44" s="17">
        <f t="shared" si="9"/>
        <v>2.4386319019380265</v>
      </c>
      <c r="AB44" s="17">
        <f t="shared" si="10"/>
        <v>1.7568989153727843</v>
      </c>
      <c r="AC44" s="17">
        <f t="shared" si="11"/>
        <v>0.80441676340693957</v>
      </c>
      <c r="AD44" s="17">
        <f t="shared" si="12"/>
        <v>0.93715505423136081</v>
      </c>
      <c r="AE44" s="17">
        <f t="shared" si="13"/>
        <v>0.75</v>
      </c>
      <c r="AF44" s="17">
        <v>6340</v>
      </c>
      <c r="AG44" s="17">
        <v>3830</v>
      </c>
      <c r="AH44" s="17">
        <f t="shared" si="14"/>
        <v>2.0040545500000003E-2</v>
      </c>
      <c r="AI44" s="17">
        <f t="shared" si="15"/>
        <v>5100.002279999997</v>
      </c>
      <c r="AJ44" s="17">
        <f t="shared" si="16"/>
        <v>2872.5</v>
      </c>
      <c r="AK44" s="17">
        <v>2.0040545500000002</v>
      </c>
      <c r="AL44" s="17">
        <v>1696.3000500000001</v>
      </c>
      <c r="AM44" s="20" t="str">
        <f t="shared" si="17"/>
        <v>II</v>
      </c>
      <c r="AN44" s="20"/>
      <c r="AO44" s="18">
        <f t="shared" si="29"/>
        <v>0.80441676340693957</v>
      </c>
      <c r="AP44" s="10" t="str">
        <f t="shared" si="30"/>
        <v>Daño del 0-15%</v>
      </c>
      <c r="AQ44" s="19" t="str">
        <f t="shared" ca="1" si="24"/>
        <v>D:\1. Pozos\11. Noviembre\4. DT-96\images\sec_max_pen_T43.png</v>
      </c>
      <c r="AR44" s="19" t="str">
        <f t="shared" ca="1" si="25"/>
        <v>D:\1. Pozos\11. Noviembre\4. DT-96\images\sec_max_res_T43.png</v>
      </c>
      <c r="AS44" s="10" t="str">
        <f t="shared" ca="1" si="26"/>
        <v>D:\1. Pozos\11. Noviembre\4. DT-96\images\43.emf</v>
      </c>
      <c r="AT44" s="19" t="str">
        <f t="shared" ca="1" si="27"/>
        <v>D:\1. Pozos\11. Noviembre\4. DT-96\images\GraficaIntegradaT43.png</v>
      </c>
    </row>
    <row r="45" spans="1:46" x14ac:dyDescent="0.25">
      <c r="A45" s="10" t="str">
        <f t="shared" si="0"/>
        <v>Well-1</v>
      </c>
      <c r="B45" s="10" t="str">
        <f t="shared" si="1"/>
        <v>Exploratorio</v>
      </c>
      <c r="C45" s="10" t="str">
        <f t="shared" si="2"/>
        <v>Colombia</v>
      </c>
      <c r="D45" s="10" t="str">
        <f t="shared" si="3"/>
        <v>State</v>
      </c>
      <c r="E45" s="10" t="str">
        <f t="shared" si="4"/>
        <v>Ecopetrol</v>
      </c>
      <c r="F45" s="10" t="s">
        <v>246</v>
      </c>
      <c r="G45" s="16" t="str">
        <f t="shared" si="5"/>
        <v>24/5/2022</v>
      </c>
      <c r="H45" s="10">
        <v>7</v>
      </c>
      <c r="I45" s="10">
        <v>6.3659999999999997</v>
      </c>
      <c r="J45" s="10">
        <f t="shared" si="6"/>
        <v>0.31700000000000017</v>
      </c>
      <c r="K45" s="10">
        <v>44</v>
      </c>
      <c r="L45" s="13">
        <v>1699.24</v>
      </c>
      <c r="M45" s="13">
        <v>1739.636</v>
      </c>
      <c r="N45" s="13">
        <v>40.396000000000001</v>
      </c>
      <c r="O45" s="10">
        <v>6.3255004899999996</v>
      </c>
      <c r="P45" s="11">
        <v>1737.8000500000001</v>
      </c>
      <c r="Q45" s="12">
        <v>0.35299992600000002</v>
      </c>
      <c r="R45" s="12">
        <v>12.0045538</v>
      </c>
      <c r="S45" s="12">
        <v>1699.3000500000001</v>
      </c>
      <c r="T45" s="12">
        <v>0.30296325699999999</v>
      </c>
      <c r="U45" s="10">
        <v>6.4910001800000003</v>
      </c>
      <c r="V45" s="13">
        <v>1725.3000500000001</v>
      </c>
      <c r="W45" s="12">
        <v>0.25449991199999999</v>
      </c>
      <c r="X45" s="12">
        <v>19.716093099999998</v>
      </c>
      <c r="Y45" s="17" t="str">
        <f t="shared" si="28"/>
        <v>I</v>
      </c>
      <c r="Z45" s="17">
        <f t="shared" si="8"/>
        <v>19.716116088328121</v>
      </c>
      <c r="AA45" s="17">
        <f t="shared" si="9"/>
        <v>2.6163888574768146</v>
      </c>
      <c r="AB45" s="17">
        <f t="shared" si="10"/>
        <v>1.8502305894217086</v>
      </c>
      <c r="AC45" s="17">
        <f t="shared" si="11"/>
        <v>0.80283883911671883</v>
      </c>
      <c r="AD45" s="17">
        <f t="shared" si="12"/>
        <v>0.93248847052891459</v>
      </c>
      <c r="AE45" s="17">
        <f t="shared" si="13"/>
        <v>0.75</v>
      </c>
      <c r="AF45" s="17">
        <v>6340</v>
      </c>
      <c r="AG45" s="17">
        <v>3830</v>
      </c>
      <c r="AH45" s="17">
        <f t="shared" si="14"/>
        <v>2.21089101E-2</v>
      </c>
      <c r="AI45" s="17">
        <f t="shared" si="15"/>
        <v>5089.9982399999972</v>
      </c>
      <c r="AJ45" s="17">
        <f t="shared" si="16"/>
        <v>2872.5</v>
      </c>
      <c r="AK45" s="17">
        <v>2.2108910100000001</v>
      </c>
      <c r="AL45" s="17">
        <v>1725.3000500000001</v>
      </c>
      <c r="AM45" s="20" t="str">
        <f t="shared" si="17"/>
        <v>II</v>
      </c>
      <c r="AN45" s="20"/>
      <c r="AO45" s="18">
        <f t="shared" si="29"/>
        <v>0.80283883911671883</v>
      </c>
      <c r="AP45" s="10" t="str">
        <f t="shared" si="30"/>
        <v>Daño del 0-15%</v>
      </c>
      <c r="AQ45" s="19" t="str">
        <f t="shared" ca="1" si="24"/>
        <v>D:\1. Pozos\11. Noviembre\4. DT-96\images\sec_max_pen_T44.png</v>
      </c>
      <c r="AR45" s="19" t="str">
        <f t="shared" ca="1" si="25"/>
        <v>D:\1. Pozos\11. Noviembre\4. DT-96\images\sec_max_res_T44.png</v>
      </c>
      <c r="AS45" s="10" t="str">
        <f t="shared" ca="1" si="26"/>
        <v>D:\1. Pozos\11. Noviembre\4. DT-96\images\44.emf</v>
      </c>
      <c r="AT45" s="19" t="str">
        <f t="shared" ca="1" si="27"/>
        <v>D:\1. Pozos\11. Noviembre\4. DT-96\images\GraficaIntegradaT44.png</v>
      </c>
    </row>
    <row r="46" spans="1:46" x14ac:dyDescent="0.25">
      <c r="A46" s="10" t="str">
        <f t="shared" si="0"/>
        <v>Well-1</v>
      </c>
      <c r="B46" s="10" t="str">
        <f t="shared" si="1"/>
        <v>Exploratorio</v>
      </c>
      <c r="C46" s="10" t="str">
        <f t="shared" si="2"/>
        <v>Colombia</v>
      </c>
      <c r="D46" s="10" t="str">
        <f t="shared" si="3"/>
        <v>State</v>
      </c>
      <c r="E46" s="10" t="str">
        <f t="shared" si="4"/>
        <v>Ecopetrol</v>
      </c>
      <c r="F46" s="10" t="s">
        <v>246</v>
      </c>
      <c r="G46" s="16" t="str">
        <f t="shared" si="5"/>
        <v>24/5/2022</v>
      </c>
      <c r="H46" s="10">
        <v>7</v>
      </c>
      <c r="I46" s="10">
        <v>6.3659999999999997</v>
      </c>
      <c r="J46" s="10">
        <f t="shared" si="6"/>
        <v>0.31700000000000017</v>
      </c>
      <c r="K46" s="10">
        <v>45</v>
      </c>
      <c r="L46" s="13">
        <v>1741.136</v>
      </c>
      <c r="M46" s="13">
        <v>1781.7260000000001</v>
      </c>
      <c r="N46" s="13">
        <v>40.588999999999999</v>
      </c>
      <c r="O46" s="10">
        <v>6.2410001800000003</v>
      </c>
      <c r="P46" s="11">
        <v>1776.6999499999999</v>
      </c>
      <c r="Q46" s="12">
        <v>0.38199996899999999</v>
      </c>
      <c r="R46" s="12">
        <v>8.7148494700000008</v>
      </c>
      <c r="S46" s="12">
        <v>1776.59998</v>
      </c>
      <c r="T46" s="12">
        <v>0.30323696100000003</v>
      </c>
      <c r="U46" s="10">
        <v>6.54799986</v>
      </c>
      <c r="V46" s="13">
        <v>1776.6999499999999</v>
      </c>
      <c r="W46" s="12">
        <v>0.226000071</v>
      </c>
      <c r="X46" s="12">
        <v>28.706582999999998</v>
      </c>
      <c r="Y46" s="17" t="str">
        <f t="shared" si="28"/>
        <v>II</v>
      </c>
      <c r="Z46" s="17">
        <f t="shared" si="8"/>
        <v>28.706602208201932</v>
      </c>
      <c r="AA46" s="17">
        <f t="shared" si="9"/>
        <v>4.9190782109543196</v>
      </c>
      <c r="AB46" s="17">
        <f t="shared" si="10"/>
        <v>3.6815059024721819</v>
      </c>
      <c r="AC46" s="17">
        <f t="shared" si="11"/>
        <v>0.71293397791798074</v>
      </c>
      <c r="AD46" s="17">
        <f t="shared" si="12"/>
        <v>0.84092470487639093</v>
      </c>
      <c r="AE46" s="17">
        <f t="shared" si="13"/>
        <v>0.6</v>
      </c>
      <c r="AF46" s="17">
        <v>6340</v>
      </c>
      <c r="AG46" s="17">
        <v>3830</v>
      </c>
      <c r="AH46" s="17">
        <f t="shared" si="14"/>
        <v>4.5601992600000002E-2</v>
      </c>
      <c r="AI46" s="17">
        <f t="shared" si="15"/>
        <v>4520.0014199999978</v>
      </c>
      <c r="AJ46" s="17">
        <f t="shared" si="16"/>
        <v>2298</v>
      </c>
      <c r="AK46" s="17">
        <v>4.5601992600000001</v>
      </c>
      <c r="AL46" s="17">
        <v>1776.6999499999999</v>
      </c>
      <c r="AM46" s="20" t="str">
        <f t="shared" si="17"/>
        <v>II</v>
      </c>
      <c r="AN46" s="20"/>
      <c r="AO46" s="18">
        <f t="shared" si="29"/>
        <v>0.71293397791798074</v>
      </c>
      <c r="AP46" s="10" t="str">
        <f t="shared" si="30"/>
        <v>Daño del 15-25%</v>
      </c>
      <c r="AQ46" s="19" t="str">
        <f t="shared" ca="1" si="24"/>
        <v>D:\1. Pozos\11. Noviembre\4. DT-96\images\sec_max_pen_T45.png</v>
      </c>
      <c r="AR46" s="19" t="str">
        <f t="shared" ca="1" si="25"/>
        <v>D:\1. Pozos\11. Noviembre\4. DT-96\images\sec_max_res_T45.png</v>
      </c>
      <c r="AS46" s="10" t="str">
        <f t="shared" ca="1" si="26"/>
        <v>D:\1. Pozos\11. Noviembre\4. DT-96\images\45.emf</v>
      </c>
      <c r="AT46" s="19" t="str">
        <f t="shared" ca="1" si="27"/>
        <v>D:\1. Pozos\11. Noviembre\4. DT-96\images\GraficaIntegradaT45.png</v>
      </c>
    </row>
    <row r="47" spans="1:46" x14ac:dyDescent="0.25">
      <c r="A47" s="10" t="str">
        <f t="shared" si="0"/>
        <v>Well-1</v>
      </c>
      <c r="B47" s="10" t="s">
        <v>424</v>
      </c>
      <c r="C47" s="10" t="str">
        <f t="shared" si="2"/>
        <v>Colombia</v>
      </c>
      <c r="D47" s="10" t="str">
        <f t="shared" si="3"/>
        <v>State</v>
      </c>
      <c r="E47" s="10" t="str">
        <f t="shared" si="4"/>
        <v>Ecopetrol</v>
      </c>
      <c r="F47" s="10" t="s">
        <v>246</v>
      </c>
      <c r="G47" s="16" t="str">
        <f t="shared" si="5"/>
        <v>24/5/2022</v>
      </c>
      <c r="H47" s="10">
        <v>7</v>
      </c>
      <c r="I47" s="10">
        <v>6.3659999999999997</v>
      </c>
      <c r="J47" s="10">
        <f t="shared" si="6"/>
        <v>0.31700000000000017</v>
      </c>
      <c r="K47" s="10">
        <v>46</v>
      </c>
      <c r="L47" s="13">
        <v>1783.2260000000001</v>
      </c>
      <c r="M47" s="13">
        <v>1823.2360000000001</v>
      </c>
      <c r="N47" s="13">
        <v>40.01</v>
      </c>
      <c r="O47" s="22">
        <v>6.2255001099999996</v>
      </c>
      <c r="P47" s="11">
        <v>1802.09998</v>
      </c>
      <c r="Q47" s="12">
        <v>0.44600009899999998</v>
      </c>
      <c r="R47" s="12">
        <v>12.1461782</v>
      </c>
      <c r="S47" s="12">
        <v>1823.1999499999999</v>
      </c>
      <c r="T47" s="12">
        <v>0.30734038400000002</v>
      </c>
      <c r="U47" s="10">
        <v>6.4730000499999996</v>
      </c>
      <c r="V47" s="13">
        <v>1790.1999499999999</v>
      </c>
      <c r="W47" s="12">
        <v>0.263499975</v>
      </c>
      <c r="X47" s="12">
        <v>16.8769569</v>
      </c>
      <c r="Y47" s="17" t="str">
        <f t="shared" si="28"/>
        <v>I</v>
      </c>
      <c r="Z47" s="17">
        <f t="shared" si="8"/>
        <v>16.876979495268184</v>
      </c>
      <c r="AA47" s="17">
        <f t="shared" si="9"/>
        <v>3.975583256394799</v>
      </c>
      <c r="AB47" s="17">
        <f t="shared" si="10"/>
        <v>3.2713762332581497</v>
      </c>
      <c r="AC47" s="17">
        <f t="shared" si="11"/>
        <v>0.83123020504731815</v>
      </c>
      <c r="AD47" s="17">
        <f t="shared" si="12"/>
        <v>0.86143118833709253</v>
      </c>
      <c r="AE47" s="17">
        <f t="shared" si="13"/>
        <v>0.72</v>
      </c>
      <c r="AF47" s="17">
        <v>6340</v>
      </c>
      <c r="AG47" s="17">
        <v>3830</v>
      </c>
      <c r="AH47" s="17">
        <f t="shared" si="14"/>
        <v>1.75000882E-2</v>
      </c>
      <c r="AI47" s="17">
        <f t="shared" si="15"/>
        <v>5269.9994999999972</v>
      </c>
      <c r="AJ47" s="17">
        <f t="shared" si="16"/>
        <v>2757.6</v>
      </c>
      <c r="AK47" s="17">
        <v>1.7500088199999999</v>
      </c>
      <c r="AL47" s="17">
        <v>1789.8000500000001</v>
      </c>
      <c r="AM47" s="20" t="str">
        <f t="shared" si="17"/>
        <v>I</v>
      </c>
      <c r="AN47" s="20"/>
      <c r="AO47" s="18">
        <f t="shared" si="29"/>
        <v>0.83123020504731815</v>
      </c>
      <c r="AP47" s="10" t="str">
        <f t="shared" si="30"/>
        <v>Daño del 0-15%</v>
      </c>
      <c r="AQ47" s="19" t="str">
        <f t="shared" ca="1" si="24"/>
        <v>D:\1. Pozos\11. Noviembre\4. DT-96\images\sec_max_pen_T46.png</v>
      </c>
      <c r="AR47" s="19" t="str">
        <f t="shared" ca="1" si="25"/>
        <v>D:\1. Pozos\11. Noviembre\4. DT-96\images\sec_max_res_T46.png</v>
      </c>
      <c r="AS47" s="10" t="str">
        <f t="shared" ca="1" si="26"/>
        <v>D:\1. Pozos\11. Noviembre\4. DT-96\images\46.emf</v>
      </c>
      <c r="AT47" s="19" t="str">
        <f t="shared" ca="1" si="27"/>
        <v>D:\1. Pozos\11. Noviembre\4. DT-96\images\GraficaIntegradaT46.png</v>
      </c>
    </row>
    <row r="48" spans="1:46" x14ac:dyDescent="0.25">
      <c r="A48" s="10" t="str">
        <f t="shared" si="0"/>
        <v>Well-1</v>
      </c>
      <c r="B48" s="10" t="str">
        <f t="shared" si="1"/>
        <v>Exploratorio</v>
      </c>
      <c r="C48" s="10" t="str">
        <f t="shared" si="2"/>
        <v>Colombia</v>
      </c>
      <c r="D48" s="10" t="str">
        <f t="shared" si="3"/>
        <v>State</v>
      </c>
      <c r="E48" s="10" t="str">
        <f t="shared" si="4"/>
        <v>Ecopetrol</v>
      </c>
      <c r="F48" s="10" t="s">
        <v>246</v>
      </c>
      <c r="G48" s="16" t="str">
        <f t="shared" si="5"/>
        <v>24/5/2022</v>
      </c>
      <c r="H48" s="10">
        <v>7</v>
      </c>
      <c r="I48" s="10">
        <v>6.3659999999999997</v>
      </c>
      <c r="J48" s="10">
        <f t="shared" si="6"/>
        <v>0.31700000000000017</v>
      </c>
      <c r="K48" s="10">
        <v>47</v>
      </c>
      <c r="L48" s="13">
        <v>1824.7360000000001</v>
      </c>
      <c r="M48" s="13">
        <v>1863.9739999999999</v>
      </c>
      <c r="N48" s="13">
        <v>39.238</v>
      </c>
      <c r="O48" s="10">
        <v>6.3275003400000003</v>
      </c>
      <c r="P48" s="11">
        <v>1840.3000500000001</v>
      </c>
      <c r="Q48" s="12">
        <v>0.34249997100000001</v>
      </c>
      <c r="R48" s="12">
        <v>6.11510277</v>
      </c>
      <c r="S48" s="12">
        <v>1863.5</v>
      </c>
      <c r="T48" s="12">
        <v>0.30138111099999998</v>
      </c>
      <c r="U48" s="10">
        <v>6.4860000600000003</v>
      </c>
      <c r="V48" s="13">
        <v>1863.6999499999999</v>
      </c>
      <c r="W48" s="12">
        <v>0.25699996899999999</v>
      </c>
      <c r="X48" s="12">
        <v>18.9274311</v>
      </c>
      <c r="Y48" s="17" t="str">
        <f t="shared" si="28"/>
        <v>I</v>
      </c>
      <c r="Z48" s="17">
        <f t="shared" si="8"/>
        <v>18.927454574132536</v>
      </c>
      <c r="AA48" s="17">
        <f t="shared" si="9"/>
        <v>2.5049341996558505</v>
      </c>
      <c r="AB48" s="17">
        <f t="shared" si="10"/>
        <v>1.8035333365149953</v>
      </c>
      <c r="AC48" s="17">
        <f t="shared" si="11"/>
        <v>0.81072545425867459</v>
      </c>
      <c r="AD48" s="17">
        <f t="shared" si="12"/>
        <v>0.93482333317425026</v>
      </c>
      <c r="AE48" s="17">
        <f t="shared" si="13"/>
        <v>0.76</v>
      </c>
      <c r="AF48" s="17">
        <v>6340</v>
      </c>
      <c r="AG48" s="17">
        <v>3830</v>
      </c>
      <c r="AH48" s="17">
        <f t="shared" si="14"/>
        <v>2.0087757100000003E-2</v>
      </c>
      <c r="AI48" s="17">
        <f t="shared" si="15"/>
        <v>5139.9993799999966</v>
      </c>
      <c r="AJ48" s="17">
        <f t="shared" si="16"/>
        <v>2910.8</v>
      </c>
      <c r="AK48" s="17">
        <v>2.0087757100000001</v>
      </c>
      <c r="AL48" s="17">
        <v>1863.40002</v>
      </c>
      <c r="AM48" s="20" t="str">
        <f t="shared" si="17"/>
        <v>II</v>
      </c>
      <c r="AN48" s="20"/>
      <c r="AO48" s="18">
        <f t="shared" si="29"/>
        <v>0.81072545425867459</v>
      </c>
      <c r="AP48" s="10" t="str">
        <f t="shared" si="30"/>
        <v>Daño del 0-15%</v>
      </c>
      <c r="AQ48" s="19" t="str">
        <f t="shared" ca="1" si="24"/>
        <v>D:\1. Pozos\11. Noviembre\4. DT-96\images\sec_max_pen_T47.png</v>
      </c>
      <c r="AR48" s="19" t="str">
        <f t="shared" ca="1" si="25"/>
        <v>D:\1. Pozos\11. Noviembre\4. DT-96\images\sec_max_res_T47.png</v>
      </c>
      <c r="AS48" s="10" t="str">
        <f t="shared" ca="1" si="26"/>
        <v>D:\1. Pozos\11. Noviembre\4. DT-96\images\47.emf</v>
      </c>
      <c r="AT48" s="19" t="str">
        <f t="shared" ca="1" si="27"/>
        <v>D:\1. Pozos\11. Noviembre\4. DT-96\images\GraficaIntegradaT47.png</v>
      </c>
    </row>
    <row r="49" spans="1:46" x14ac:dyDescent="0.25">
      <c r="A49" s="10" t="str">
        <f t="shared" si="0"/>
        <v>Well-1</v>
      </c>
      <c r="B49" s="10" t="str">
        <f t="shared" si="1"/>
        <v>Exploratorio</v>
      </c>
      <c r="C49" s="10" t="str">
        <f t="shared" si="2"/>
        <v>Colombia</v>
      </c>
      <c r="D49" s="10" t="str">
        <f t="shared" si="3"/>
        <v>State</v>
      </c>
      <c r="E49" s="10" t="str">
        <f t="shared" si="4"/>
        <v>Ecopetrol</v>
      </c>
      <c r="F49" s="10" t="s">
        <v>246</v>
      </c>
      <c r="G49" s="16" t="str">
        <f t="shared" si="5"/>
        <v>24/5/2022</v>
      </c>
      <c r="H49" s="10">
        <v>7</v>
      </c>
      <c r="I49" s="10">
        <v>6.3659999999999997</v>
      </c>
      <c r="J49" s="10">
        <f t="shared" si="6"/>
        <v>0.31700000000000017</v>
      </c>
      <c r="K49" s="10">
        <v>48</v>
      </c>
      <c r="L49" s="13">
        <v>1865.4739999999999</v>
      </c>
      <c r="M49" s="13">
        <v>1906.45</v>
      </c>
      <c r="N49" s="13">
        <v>40.975999999999999</v>
      </c>
      <c r="O49" s="10">
        <v>6.2525005299999998</v>
      </c>
      <c r="P49" s="11">
        <v>1869.5</v>
      </c>
      <c r="Q49" s="12">
        <v>0.37849998499999998</v>
      </c>
      <c r="R49" s="12">
        <v>12.8227148</v>
      </c>
      <c r="S49" s="12">
        <v>1906.40002</v>
      </c>
      <c r="T49" s="12">
        <v>0.30165409999999998</v>
      </c>
      <c r="U49" s="10">
        <v>6.5380001099999996</v>
      </c>
      <c r="V49" s="13">
        <v>1869.3000500000001</v>
      </c>
      <c r="W49" s="12">
        <v>0.23099994700000001</v>
      </c>
      <c r="X49" s="12">
        <v>27.129333500000001</v>
      </c>
      <c r="Y49" s="17" t="str">
        <f t="shared" si="28"/>
        <v>II</v>
      </c>
      <c r="Z49" s="17">
        <f t="shared" si="8"/>
        <v>27.129354258675114</v>
      </c>
      <c r="AA49" s="17">
        <f t="shared" si="9"/>
        <v>4.5661664262185875</v>
      </c>
      <c r="AB49" s="17">
        <f t="shared" si="10"/>
        <v>3.4361520797823841</v>
      </c>
      <c r="AC49" s="17">
        <f t="shared" si="11"/>
        <v>0.72870645741324891</v>
      </c>
      <c r="AD49" s="17">
        <f t="shared" si="12"/>
        <v>0.85319239601088082</v>
      </c>
      <c r="AE49" s="17">
        <f t="shared" si="13"/>
        <v>0.62</v>
      </c>
      <c r="AF49" s="17">
        <v>6340</v>
      </c>
      <c r="AG49" s="17">
        <v>3830</v>
      </c>
      <c r="AH49" s="17">
        <f t="shared" si="14"/>
        <v>4.3377146700000008E-2</v>
      </c>
      <c r="AI49" s="17">
        <f t="shared" si="15"/>
        <v>4619.9989399999977</v>
      </c>
      <c r="AJ49" s="17">
        <f t="shared" si="16"/>
        <v>2374.6</v>
      </c>
      <c r="AK49" s="17">
        <v>4.3377146700000004</v>
      </c>
      <c r="AL49" s="17">
        <v>1869.3000500000001</v>
      </c>
      <c r="AM49" s="20" t="str">
        <f t="shared" si="17"/>
        <v>II</v>
      </c>
      <c r="AN49" s="20"/>
      <c r="AO49" s="18">
        <f t="shared" si="29"/>
        <v>0.7287064574132488</v>
      </c>
      <c r="AP49" s="10" t="str">
        <f t="shared" si="30"/>
        <v>Daño del 15-25%</v>
      </c>
      <c r="AQ49" s="19" t="str">
        <f t="shared" ca="1" si="24"/>
        <v>D:\1. Pozos\11. Noviembre\4. DT-96\images\sec_max_pen_T48.png</v>
      </c>
      <c r="AR49" s="19" t="str">
        <f t="shared" ca="1" si="25"/>
        <v>D:\1. Pozos\11. Noviembre\4. DT-96\images\sec_max_res_T48.png</v>
      </c>
      <c r="AS49" s="10" t="str">
        <f t="shared" ca="1" si="26"/>
        <v>D:\1. Pozos\11. Noviembre\4. DT-96\images\48.emf</v>
      </c>
      <c r="AT49" s="19" t="str">
        <f t="shared" ca="1" si="27"/>
        <v>D:\1. Pozos\11. Noviembre\4. DT-96\images\GraficaIntegradaT48.png</v>
      </c>
    </row>
    <row r="50" spans="1:46" x14ac:dyDescent="0.25">
      <c r="A50" s="10" t="str">
        <f t="shared" si="0"/>
        <v>Well-1</v>
      </c>
      <c r="B50" s="10" t="str">
        <f t="shared" si="1"/>
        <v>Exploratorio</v>
      </c>
      <c r="C50" s="10" t="str">
        <f t="shared" si="2"/>
        <v>Colombia</v>
      </c>
      <c r="D50" s="10" t="str">
        <f t="shared" si="3"/>
        <v>State</v>
      </c>
      <c r="E50" s="10" t="str">
        <f t="shared" si="4"/>
        <v>Ecopetrol</v>
      </c>
      <c r="F50" s="10" t="s">
        <v>246</v>
      </c>
      <c r="G50" s="16" t="str">
        <f t="shared" si="5"/>
        <v>24/5/2022</v>
      </c>
      <c r="H50" s="10">
        <v>7</v>
      </c>
      <c r="I50" s="10">
        <v>6.3659999999999997</v>
      </c>
      <c r="J50" s="10">
        <f t="shared" si="6"/>
        <v>0.31700000000000017</v>
      </c>
      <c r="K50" s="10">
        <v>49</v>
      </c>
      <c r="L50" s="13">
        <v>1907.95</v>
      </c>
      <c r="M50" s="13">
        <v>1946.9939999999999</v>
      </c>
      <c r="N50" s="13">
        <v>39.045000000000002</v>
      </c>
      <c r="O50" s="10">
        <v>6.3250002900000002</v>
      </c>
      <c r="P50" s="11">
        <v>1914.1999499999999</v>
      </c>
      <c r="Q50" s="12">
        <v>0.34549999199999998</v>
      </c>
      <c r="R50" s="12">
        <v>6.18655825</v>
      </c>
      <c r="S50" s="12">
        <v>1943.1999499999999</v>
      </c>
      <c r="T50" s="12">
        <v>0.30040717099999997</v>
      </c>
      <c r="U50" s="10">
        <v>6.4869999900000002</v>
      </c>
      <c r="V50" s="13">
        <v>1908.09998</v>
      </c>
      <c r="W50" s="12">
        <v>0.256500006</v>
      </c>
      <c r="X50" s="12">
        <v>19.0851498</v>
      </c>
      <c r="Y50" s="17" t="str">
        <f t="shared" si="28"/>
        <v>I</v>
      </c>
      <c r="Z50" s="17">
        <f t="shared" si="8"/>
        <v>19.085171608832852</v>
      </c>
      <c r="AA50" s="17">
        <f t="shared" si="9"/>
        <v>2.561259961618112</v>
      </c>
      <c r="AB50" s="17">
        <f t="shared" si="10"/>
        <v>1.8670755665688654</v>
      </c>
      <c r="AC50" s="17">
        <f t="shared" si="11"/>
        <v>0.80914828391167148</v>
      </c>
      <c r="AD50" s="17">
        <f t="shared" si="12"/>
        <v>0.93164622167155675</v>
      </c>
      <c r="AE50" s="17">
        <f t="shared" si="13"/>
        <v>0.75</v>
      </c>
      <c r="AF50" s="17">
        <v>6340</v>
      </c>
      <c r="AG50" s="17">
        <v>3830</v>
      </c>
      <c r="AH50" s="17">
        <f t="shared" si="14"/>
        <v>2.1731054799999996E-2</v>
      </c>
      <c r="AI50" s="17">
        <f t="shared" si="15"/>
        <v>5130.000119999997</v>
      </c>
      <c r="AJ50" s="17">
        <f t="shared" si="16"/>
        <v>2872.5</v>
      </c>
      <c r="AK50" s="17">
        <v>2.1731054799999998</v>
      </c>
      <c r="AL50" s="17">
        <v>1913.59998</v>
      </c>
      <c r="AM50" s="20" t="str">
        <f t="shared" si="17"/>
        <v>II</v>
      </c>
      <c r="AN50" s="20"/>
      <c r="AO50" s="18">
        <f t="shared" si="29"/>
        <v>0.80914828391167148</v>
      </c>
      <c r="AP50" s="10" t="str">
        <f t="shared" si="30"/>
        <v>Daño del 0-15%</v>
      </c>
      <c r="AQ50" s="19" t="str">
        <f t="shared" ca="1" si="24"/>
        <v>D:\1. Pozos\11. Noviembre\4. DT-96\images\sec_max_pen_T49.png</v>
      </c>
      <c r="AR50" s="19" t="str">
        <f t="shared" ca="1" si="25"/>
        <v>D:\1. Pozos\11. Noviembre\4. DT-96\images\sec_max_res_T49.png</v>
      </c>
      <c r="AS50" s="10" t="str">
        <f t="shared" ca="1" si="26"/>
        <v>D:\1. Pozos\11. Noviembre\4. DT-96\images\49.emf</v>
      </c>
      <c r="AT50" s="19" t="str">
        <f t="shared" ca="1" si="27"/>
        <v>D:\1. Pozos\11. Noviembre\4. DT-96\images\GraficaIntegradaT49.png</v>
      </c>
    </row>
    <row r="51" spans="1:46" x14ac:dyDescent="0.25">
      <c r="A51" s="10" t="str">
        <f t="shared" si="0"/>
        <v>Well-1</v>
      </c>
      <c r="B51" s="10" t="str">
        <f t="shared" si="1"/>
        <v>Exploratorio</v>
      </c>
      <c r="C51" s="10" t="str">
        <f t="shared" si="2"/>
        <v>Colombia</v>
      </c>
      <c r="D51" s="10" t="str">
        <f t="shared" si="3"/>
        <v>State</v>
      </c>
      <c r="E51" s="10" t="str">
        <f t="shared" si="4"/>
        <v>Ecopetrol</v>
      </c>
      <c r="F51" s="10" t="s">
        <v>246</v>
      </c>
      <c r="G51" s="16" t="str">
        <f t="shared" si="5"/>
        <v>24/5/2022</v>
      </c>
      <c r="H51" s="10">
        <v>7</v>
      </c>
      <c r="I51" s="10">
        <v>6.3659999999999997</v>
      </c>
      <c r="J51" s="10">
        <f t="shared" si="6"/>
        <v>0.31700000000000017</v>
      </c>
      <c r="K51" s="10">
        <v>50</v>
      </c>
      <c r="L51" s="13">
        <v>1948.4939999999999</v>
      </c>
      <c r="M51" s="13">
        <v>1988.3119999999999</v>
      </c>
      <c r="N51" s="13">
        <v>39.817</v>
      </c>
      <c r="O51" s="10">
        <v>6.2975001300000004</v>
      </c>
      <c r="P51" s="11">
        <v>1962.59998</v>
      </c>
      <c r="Q51" s="12">
        <v>0.36249995200000001</v>
      </c>
      <c r="R51" s="12">
        <v>7.3358616799999998</v>
      </c>
      <c r="S51" s="12">
        <v>1964.6999499999999</v>
      </c>
      <c r="T51" s="12">
        <v>0.302261591</v>
      </c>
      <c r="U51" s="10">
        <v>6.5159997900000004</v>
      </c>
      <c r="V51" s="13">
        <v>1964.40002</v>
      </c>
      <c r="W51" s="12">
        <v>0.24200010299999999</v>
      </c>
      <c r="X51" s="12">
        <v>23.659252200000001</v>
      </c>
      <c r="Y51" s="17" t="str">
        <f t="shared" si="28"/>
        <v>II</v>
      </c>
      <c r="Z51" s="17">
        <f t="shared" si="8"/>
        <v>23.659273501577331</v>
      </c>
      <c r="AA51" s="17">
        <f t="shared" si="9"/>
        <v>3.4696253352836326</v>
      </c>
      <c r="AB51" s="17">
        <f t="shared" si="10"/>
        <v>2.512714072782396</v>
      </c>
      <c r="AC51" s="17">
        <f t="shared" si="11"/>
        <v>0.76340726498422673</v>
      </c>
      <c r="AD51" s="17">
        <f t="shared" si="12"/>
        <v>0.89936429636088022</v>
      </c>
      <c r="AE51" s="17">
        <f t="shared" si="13"/>
        <v>0.69</v>
      </c>
      <c r="AF51" s="17">
        <v>6340</v>
      </c>
      <c r="AG51" s="17">
        <v>3830</v>
      </c>
      <c r="AH51" s="17">
        <f t="shared" si="14"/>
        <v>3.0612153999999999E-2</v>
      </c>
      <c r="AI51" s="17">
        <f t="shared" si="15"/>
        <v>4840.0020599999971</v>
      </c>
      <c r="AJ51" s="17">
        <f t="shared" si="16"/>
        <v>2642.7</v>
      </c>
      <c r="AK51" s="17">
        <v>3.0612154</v>
      </c>
      <c r="AL51" s="17">
        <v>1964.6999499999999</v>
      </c>
      <c r="AM51" s="20" t="str">
        <f t="shared" si="17"/>
        <v>II</v>
      </c>
      <c r="AN51" s="20"/>
      <c r="AO51" s="18">
        <f t="shared" si="29"/>
        <v>0.76340726498422673</v>
      </c>
      <c r="AP51" s="10" t="str">
        <f t="shared" si="30"/>
        <v>Daño del 15-25%</v>
      </c>
      <c r="AQ51" s="19" t="str">
        <f t="shared" ca="1" si="24"/>
        <v>D:\1. Pozos\11. Noviembre\4. DT-96\images\sec_max_pen_T50.png</v>
      </c>
      <c r="AR51" s="19" t="str">
        <f t="shared" ca="1" si="25"/>
        <v>D:\1. Pozos\11. Noviembre\4. DT-96\images\sec_max_res_T50.png</v>
      </c>
      <c r="AS51" s="10" t="str">
        <f t="shared" ca="1" si="26"/>
        <v>D:\1. Pozos\11. Noviembre\4. DT-96\images\50.emf</v>
      </c>
      <c r="AT51" s="19" t="str">
        <f t="shared" ca="1" si="27"/>
        <v>D:\1. Pozos\11. Noviembre\4. DT-96\images\GraficaIntegradaT50.png</v>
      </c>
    </row>
    <row r="52" spans="1:46" x14ac:dyDescent="0.25">
      <c r="A52" s="10" t="str">
        <f t="shared" si="0"/>
        <v>Well-1</v>
      </c>
      <c r="B52" s="10" t="str">
        <f t="shared" si="1"/>
        <v>Exploratorio</v>
      </c>
      <c r="C52" s="10" t="str">
        <f t="shared" si="2"/>
        <v>Colombia</v>
      </c>
      <c r="D52" s="10" t="str">
        <f t="shared" si="3"/>
        <v>State</v>
      </c>
      <c r="E52" s="10" t="str">
        <f t="shared" si="4"/>
        <v>Ecopetrol</v>
      </c>
      <c r="F52" s="10" t="s">
        <v>246</v>
      </c>
      <c r="G52" s="16" t="str">
        <f t="shared" si="5"/>
        <v>24/5/2022</v>
      </c>
      <c r="H52" s="10">
        <v>7</v>
      </c>
      <c r="I52" s="10">
        <v>6.3659999999999997</v>
      </c>
      <c r="J52" s="10">
        <f t="shared" si="6"/>
        <v>0.31700000000000017</v>
      </c>
      <c r="K52" s="10">
        <v>51</v>
      </c>
      <c r="L52" s="13">
        <v>1989.8119999999999</v>
      </c>
      <c r="M52" s="13">
        <v>2029.6289999999999</v>
      </c>
      <c r="N52" s="13">
        <v>39.817</v>
      </c>
      <c r="O52" s="10">
        <v>6.3360004400000003</v>
      </c>
      <c r="P52" s="11">
        <v>1990.6999499999999</v>
      </c>
      <c r="Q52" s="12">
        <v>0.34249997100000001</v>
      </c>
      <c r="R52" s="12">
        <v>10.511519399999999</v>
      </c>
      <c r="S52" s="12">
        <v>2029.59998</v>
      </c>
      <c r="T52" s="12">
        <v>0.30148816099999998</v>
      </c>
      <c r="U52" s="10">
        <v>6.45800018</v>
      </c>
      <c r="V52" s="13">
        <v>2029.59998</v>
      </c>
      <c r="W52" s="12">
        <v>0.27099990800000001</v>
      </c>
      <c r="X52" s="12">
        <v>14.5110464</v>
      </c>
      <c r="Y52" s="17" t="str">
        <f t="shared" si="28"/>
        <v>I</v>
      </c>
      <c r="Z52" s="17">
        <f t="shared" si="8"/>
        <v>14.511070031545783</v>
      </c>
      <c r="AA52" s="17">
        <f t="shared" si="9"/>
        <v>1.925500813254355</v>
      </c>
      <c r="AB52" s="17">
        <f t="shared" si="10"/>
        <v>1.4443099849279717</v>
      </c>
      <c r="AC52" s="17">
        <f t="shared" si="11"/>
        <v>0.85488929968454219</v>
      </c>
      <c r="AD52" s="17">
        <f t="shared" si="12"/>
        <v>0.95278450075360144</v>
      </c>
      <c r="AE52" s="17">
        <f t="shared" si="13"/>
        <v>0.81</v>
      </c>
      <c r="AF52" s="17">
        <v>6340</v>
      </c>
      <c r="AG52" s="17">
        <v>3830</v>
      </c>
      <c r="AH52" s="17">
        <f t="shared" si="14"/>
        <v>1.27555442E-2</v>
      </c>
      <c r="AI52" s="17">
        <f t="shared" si="15"/>
        <v>5419.9981599999974</v>
      </c>
      <c r="AJ52" s="17">
        <f t="shared" si="16"/>
        <v>3102.3</v>
      </c>
      <c r="AK52" s="17">
        <v>1.27555442</v>
      </c>
      <c r="AL52" s="17">
        <v>1990.5</v>
      </c>
      <c r="AM52" s="20" t="str">
        <f t="shared" si="17"/>
        <v>I</v>
      </c>
      <c r="AN52" s="20"/>
      <c r="AO52" s="18">
        <f t="shared" si="29"/>
        <v>0.85488929968454219</v>
      </c>
      <c r="AP52" s="10" t="str">
        <f t="shared" si="30"/>
        <v>Daño del 0-15%</v>
      </c>
      <c r="AQ52" s="19" t="str">
        <f t="shared" ca="1" si="24"/>
        <v>D:\1. Pozos\11. Noviembre\4. DT-96\images\sec_max_pen_T51.png</v>
      </c>
      <c r="AR52" s="19" t="str">
        <f t="shared" ca="1" si="25"/>
        <v>D:\1. Pozos\11. Noviembre\4. DT-96\images\sec_max_res_T51.png</v>
      </c>
      <c r="AS52" s="10" t="str">
        <f t="shared" ca="1" si="26"/>
        <v>D:\1. Pozos\11. Noviembre\4. DT-96\images\51.emf</v>
      </c>
      <c r="AT52" s="19" t="str">
        <f t="shared" ca="1" si="27"/>
        <v>D:\1. Pozos\11. Noviembre\4. DT-96\images\GraficaIntegradaT51.png</v>
      </c>
    </row>
    <row r="53" spans="1:46" x14ac:dyDescent="0.25">
      <c r="A53" s="10" t="str">
        <f t="shared" si="0"/>
        <v>Well-1</v>
      </c>
      <c r="B53" s="10" t="str">
        <f t="shared" si="1"/>
        <v>Exploratorio</v>
      </c>
      <c r="C53" s="10" t="str">
        <f t="shared" si="2"/>
        <v>Colombia</v>
      </c>
      <c r="D53" s="10" t="str">
        <f t="shared" si="3"/>
        <v>State</v>
      </c>
      <c r="E53" s="10" t="str">
        <f t="shared" si="4"/>
        <v>Ecopetrol</v>
      </c>
      <c r="F53" s="10" t="s">
        <v>246</v>
      </c>
      <c r="G53" s="16" t="str">
        <f t="shared" si="5"/>
        <v>24/5/2022</v>
      </c>
      <c r="H53" s="10">
        <v>7</v>
      </c>
      <c r="I53" s="10">
        <v>6.3659999999999997</v>
      </c>
      <c r="J53" s="10">
        <f t="shared" si="6"/>
        <v>0.31700000000000017</v>
      </c>
      <c r="K53" s="10">
        <v>52</v>
      </c>
      <c r="L53" s="13">
        <v>2031.1289999999999</v>
      </c>
      <c r="M53" s="13">
        <v>2072.1039999999998</v>
      </c>
      <c r="N53" s="13">
        <v>40.975999999999999</v>
      </c>
      <c r="O53" s="10">
        <v>6.3240003600000003</v>
      </c>
      <c r="P53" s="11">
        <v>2070.8998999999999</v>
      </c>
      <c r="Q53" s="12">
        <v>0.34949994099999998</v>
      </c>
      <c r="R53" s="12">
        <v>7.4318337400000001</v>
      </c>
      <c r="S53" s="12">
        <v>2072.1001000000001</v>
      </c>
      <c r="T53" s="12">
        <v>0.30331206300000002</v>
      </c>
      <c r="U53" s="10">
        <v>6.4790000900000004</v>
      </c>
      <c r="V53" s="13">
        <v>2061.8998999999999</v>
      </c>
      <c r="W53" s="12">
        <v>0.26049995399999998</v>
      </c>
      <c r="X53" s="12">
        <v>17.8233356</v>
      </c>
      <c r="Y53" s="17" t="str">
        <f t="shared" si="28"/>
        <v>I</v>
      </c>
      <c r="Z53" s="17">
        <f t="shared" si="8"/>
        <v>17.823358359621501</v>
      </c>
      <c r="AA53" s="17">
        <f t="shared" si="9"/>
        <v>2.4509759831828903</v>
      </c>
      <c r="AB53" s="17">
        <f t="shared" si="10"/>
        <v>1.7739977010374552</v>
      </c>
      <c r="AC53" s="17">
        <f t="shared" si="11"/>
        <v>0.821766416403785</v>
      </c>
      <c r="AD53" s="17">
        <f t="shared" si="12"/>
        <v>0.93630011494812726</v>
      </c>
      <c r="AE53" s="17">
        <f t="shared" si="13"/>
        <v>0.77</v>
      </c>
      <c r="AF53" s="17">
        <v>6340</v>
      </c>
      <c r="AG53" s="17">
        <v>3830</v>
      </c>
      <c r="AH53" s="17">
        <f t="shared" si="14"/>
        <v>2.1840906100000002E-2</v>
      </c>
      <c r="AI53" s="17">
        <f t="shared" si="15"/>
        <v>5209.9990799999969</v>
      </c>
      <c r="AJ53" s="17">
        <f t="shared" si="16"/>
        <v>2949.1</v>
      </c>
      <c r="AK53" s="17">
        <v>2.1840906100000002</v>
      </c>
      <c r="AL53" s="17">
        <v>2070.8998999999999</v>
      </c>
      <c r="AM53" s="20" t="str">
        <f t="shared" si="17"/>
        <v>II</v>
      </c>
      <c r="AN53" s="20"/>
      <c r="AO53" s="18">
        <f t="shared" si="29"/>
        <v>0.82176641640378489</v>
      </c>
      <c r="AP53" s="10" t="str">
        <f t="shared" si="30"/>
        <v>Daño del 0-15%</v>
      </c>
      <c r="AQ53" s="19" t="str">
        <f t="shared" ca="1" si="24"/>
        <v>D:\1. Pozos\11. Noviembre\4. DT-96\images\sec_max_pen_T52.png</v>
      </c>
      <c r="AR53" s="19" t="str">
        <f t="shared" ca="1" si="25"/>
        <v>D:\1. Pozos\11. Noviembre\4. DT-96\images\sec_max_res_T52.png</v>
      </c>
      <c r="AS53" s="10" t="str">
        <f t="shared" ca="1" si="26"/>
        <v>D:\1. Pozos\11. Noviembre\4. DT-96\images\52.emf</v>
      </c>
      <c r="AT53" s="19" t="str">
        <f t="shared" ca="1" si="27"/>
        <v>D:\1. Pozos\11. Noviembre\4. DT-96\images\GraficaIntegradaT52.png</v>
      </c>
    </row>
    <row r="54" spans="1:46" x14ac:dyDescent="0.25">
      <c r="A54" s="10" t="str">
        <f t="shared" si="0"/>
        <v>Well-1</v>
      </c>
      <c r="B54" s="10" t="str">
        <f t="shared" si="1"/>
        <v>Exploratorio</v>
      </c>
      <c r="C54" s="10" t="str">
        <f t="shared" si="2"/>
        <v>Colombia</v>
      </c>
      <c r="D54" s="10" t="str">
        <f t="shared" si="3"/>
        <v>State</v>
      </c>
      <c r="E54" s="10" t="str">
        <f t="shared" si="4"/>
        <v>Ecopetrol</v>
      </c>
      <c r="F54" s="10" t="s">
        <v>246</v>
      </c>
      <c r="G54" s="16" t="str">
        <f t="shared" si="5"/>
        <v>24/5/2022</v>
      </c>
      <c r="H54" s="10">
        <v>7</v>
      </c>
      <c r="I54" s="10">
        <v>6.3659999999999997</v>
      </c>
      <c r="J54" s="10">
        <f t="shared" si="6"/>
        <v>0.31700000000000017</v>
      </c>
      <c r="K54" s="10">
        <v>53</v>
      </c>
      <c r="L54" s="13">
        <v>2073.6039999999998</v>
      </c>
      <c r="M54" s="13">
        <v>2113.6149999999998</v>
      </c>
      <c r="N54" s="13">
        <v>40.01</v>
      </c>
      <c r="O54" s="10">
        <v>6.3480005300000002</v>
      </c>
      <c r="P54" s="11">
        <v>2102.8000499999998</v>
      </c>
      <c r="Q54" s="12">
        <v>0.33450007399999998</v>
      </c>
      <c r="R54" s="12">
        <v>6.3084869399999999</v>
      </c>
      <c r="S54" s="12">
        <v>2111.6999500000002</v>
      </c>
      <c r="T54" s="12">
        <v>0.29959940899999998</v>
      </c>
      <c r="U54" s="10">
        <v>6.4619998900000004</v>
      </c>
      <c r="V54" s="13">
        <v>2076.3998999999999</v>
      </c>
      <c r="W54" s="12">
        <v>0.26900005300000002</v>
      </c>
      <c r="X54" s="12">
        <v>15.141915300000001</v>
      </c>
      <c r="Y54" s="17" t="str">
        <f t="shared" si="28"/>
        <v>I</v>
      </c>
      <c r="Z54" s="17">
        <f t="shared" si="8"/>
        <v>15.141939116719282</v>
      </c>
      <c r="AA54" s="17">
        <f t="shared" si="9"/>
        <v>1.7958309779788184</v>
      </c>
      <c r="AB54" s="17">
        <f t="shared" si="10"/>
        <v>1.3137995752498854</v>
      </c>
      <c r="AC54" s="17">
        <f t="shared" si="11"/>
        <v>0.84858060883280717</v>
      </c>
      <c r="AD54" s="17">
        <f t="shared" si="12"/>
        <v>0.95931002123750575</v>
      </c>
      <c r="AE54" s="17">
        <f t="shared" si="13"/>
        <v>0.81</v>
      </c>
      <c r="AF54" s="17">
        <v>6340</v>
      </c>
      <c r="AG54" s="17">
        <v>3830</v>
      </c>
      <c r="AH54" s="17">
        <f t="shared" si="14"/>
        <v>1.36687171E-2</v>
      </c>
      <c r="AI54" s="17">
        <f t="shared" si="15"/>
        <v>5380.0010599999978</v>
      </c>
      <c r="AJ54" s="17">
        <f t="shared" si="16"/>
        <v>3102.3</v>
      </c>
      <c r="AK54" s="17">
        <v>1.3668717100000001</v>
      </c>
      <c r="AL54" s="17">
        <v>2103.3000499999998</v>
      </c>
      <c r="AM54" s="20" t="str">
        <f t="shared" si="17"/>
        <v>I</v>
      </c>
      <c r="AN54" s="20"/>
      <c r="AO54" s="18">
        <f t="shared" si="29"/>
        <v>0.84858060883280717</v>
      </c>
      <c r="AP54" s="10" t="str">
        <f t="shared" si="30"/>
        <v>Daño del 0-15%</v>
      </c>
      <c r="AQ54" s="19" t="str">
        <f t="shared" ca="1" si="24"/>
        <v>D:\1. Pozos\11. Noviembre\4. DT-96\images\sec_max_pen_T53.png</v>
      </c>
      <c r="AR54" s="19" t="str">
        <f t="shared" ca="1" si="25"/>
        <v>D:\1. Pozos\11. Noviembre\4. DT-96\images\sec_max_res_T53.png</v>
      </c>
      <c r="AS54" s="10" t="str">
        <f t="shared" ca="1" si="26"/>
        <v>D:\1. Pozos\11. Noviembre\4. DT-96\images\53.emf</v>
      </c>
      <c r="AT54" s="19" t="str">
        <f t="shared" ca="1" si="27"/>
        <v>D:\1. Pozos\11. Noviembre\4. DT-96\images\GraficaIntegradaT53.png</v>
      </c>
    </row>
    <row r="55" spans="1:46" x14ac:dyDescent="0.25">
      <c r="A55" s="10" t="str">
        <f t="shared" si="0"/>
        <v>Well-1</v>
      </c>
      <c r="B55" s="10" t="str">
        <f t="shared" si="1"/>
        <v>Exploratorio</v>
      </c>
      <c r="C55" s="10" t="str">
        <f t="shared" si="2"/>
        <v>Colombia</v>
      </c>
      <c r="D55" s="10" t="str">
        <f t="shared" si="3"/>
        <v>State</v>
      </c>
      <c r="E55" s="10" t="str">
        <f t="shared" si="4"/>
        <v>Ecopetrol</v>
      </c>
      <c r="F55" s="10" t="s">
        <v>246</v>
      </c>
      <c r="G55" s="16" t="str">
        <f t="shared" si="5"/>
        <v>24/5/2022</v>
      </c>
      <c r="H55" s="10">
        <v>7</v>
      </c>
      <c r="I55" s="10">
        <v>6.3659999999999997</v>
      </c>
      <c r="J55" s="10">
        <f t="shared" si="6"/>
        <v>0.31700000000000017</v>
      </c>
      <c r="K55" s="10">
        <v>54</v>
      </c>
      <c r="L55" s="13">
        <v>2115.1149999999998</v>
      </c>
      <c r="M55" s="13">
        <v>2156.4760000000001</v>
      </c>
      <c r="N55" s="13">
        <v>41.362000000000002</v>
      </c>
      <c r="O55" s="10">
        <v>6.34400034</v>
      </c>
      <c r="P55" s="11">
        <v>2115.8000499999998</v>
      </c>
      <c r="Q55" s="12">
        <v>0.33400011099999999</v>
      </c>
      <c r="R55" s="12">
        <v>12.6413364</v>
      </c>
      <c r="S55" s="12">
        <v>2156.5</v>
      </c>
      <c r="T55" s="12">
        <v>0.30179071400000002</v>
      </c>
      <c r="U55" s="10">
        <v>6.4720001199999997</v>
      </c>
      <c r="V55" s="13">
        <v>2116.1999500000002</v>
      </c>
      <c r="W55" s="12">
        <v>0.26399993900000002</v>
      </c>
      <c r="X55" s="12">
        <v>16.719238300000001</v>
      </c>
      <c r="Y55" s="17" t="str">
        <f t="shared" si="28"/>
        <v>I</v>
      </c>
      <c r="Z55" s="17">
        <f t="shared" si="8"/>
        <v>16.719262145110449</v>
      </c>
      <c r="AA55" s="17">
        <f t="shared" si="9"/>
        <v>2.0176509006933685</v>
      </c>
      <c r="AB55" s="17">
        <f t="shared" si="10"/>
        <v>1.421957757965675</v>
      </c>
      <c r="AC55" s="17">
        <f t="shared" si="11"/>
        <v>0.83280737854889553</v>
      </c>
      <c r="AD55" s="17">
        <f t="shared" si="12"/>
        <v>0.95390211210171627</v>
      </c>
      <c r="AE55" s="17">
        <f t="shared" si="13"/>
        <v>0.79</v>
      </c>
      <c r="AF55" s="17">
        <v>6340</v>
      </c>
      <c r="AG55" s="17">
        <v>3830</v>
      </c>
      <c r="AH55" s="17">
        <f t="shared" si="14"/>
        <v>1.59534013E-2</v>
      </c>
      <c r="AI55" s="17">
        <f t="shared" si="15"/>
        <v>5279.9987799999981</v>
      </c>
      <c r="AJ55" s="17">
        <f t="shared" si="16"/>
        <v>3025.7000000000003</v>
      </c>
      <c r="AK55" s="17">
        <v>1.5953401300000001</v>
      </c>
      <c r="AL55" s="17">
        <v>2116.1999500000002</v>
      </c>
      <c r="AM55" s="20" t="str">
        <f t="shared" si="17"/>
        <v>I</v>
      </c>
      <c r="AN55" s="20"/>
      <c r="AO55" s="18">
        <f t="shared" si="29"/>
        <v>0.83280737854889553</v>
      </c>
      <c r="AP55" s="10" t="str">
        <f t="shared" si="30"/>
        <v>Daño del 0-15%</v>
      </c>
      <c r="AQ55" s="19" t="str">
        <f t="shared" ca="1" si="24"/>
        <v>D:\1. Pozos\11. Noviembre\4. DT-96\images\sec_max_pen_T54.png</v>
      </c>
      <c r="AR55" s="19" t="str">
        <f t="shared" ca="1" si="25"/>
        <v>D:\1. Pozos\11. Noviembre\4. DT-96\images\sec_max_res_T54.png</v>
      </c>
      <c r="AS55" s="10" t="str">
        <f t="shared" ca="1" si="26"/>
        <v>D:\1. Pozos\11. Noviembre\4. DT-96\images\54.emf</v>
      </c>
      <c r="AT55" s="19" t="str">
        <f t="shared" ca="1" si="27"/>
        <v>D:\1. Pozos\11. Noviembre\4. DT-96\images\GraficaIntegradaT54.png</v>
      </c>
    </row>
    <row r="56" spans="1:46" x14ac:dyDescent="0.25">
      <c r="A56" s="10" t="str">
        <f t="shared" si="0"/>
        <v>Well-1</v>
      </c>
      <c r="B56" s="10" t="str">
        <f t="shared" si="1"/>
        <v>Exploratorio</v>
      </c>
      <c r="C56" s="10" t="str">
        <f t="shared" si="2"/>
        <v>Colombia</v>
      </c>
      <c r="D56" s="10" t="str">
        <f t="shared" si="3"/>
        <v>State</v>
      </c>
      <c r="E56" s="10" t="str">
        <f t="shared" si="4"/>
        <v>Ecopetrol</v>
      </c>
      <c r="F56" s="10" t="s">
        <v>246</v>
      </c>
      <c r="G56" s="16" t="str">
        <f t="shared" si="5"/>
        <v>24/5/2022</v>
      </c>
      <c r="H56" s="10">
        <v>7</v>
      </c>
      <c r="I56" s="10">
        <v>6.3659999999999997</v>
      </c>
      <c r="J56" s="10">
        <f t="shared" si="6"/>
        <v>0.31700000000000017</v>
      </c>
      <c r="K56" s="10">
        <v>55</v>
      </c>
      <c r="L56" s="13">
        <v>2157.9760000000001</v>
      </c>
      <c r="M56" s="13">
        <v>2198.373</v>
      </c>
      <c r="N56" s="13">
        <v>40.396000000000001</v>
      </c>
      <c r="O56" s="10">
        <v>6.3305001299999999</v>
      </c>
      <c r="P56" s="11">
        <v>2167.5</v>
      </c>
      <c r="Q56" s="12">
        <v>0.34299993499999998</v>
      </c>
      <c r="R56" s="12">
        <v>5.1580724699999996</v>
      </c>
      <c r="S56" s="12">
        <v>2175.6001000000001</v>
      </c>
      <c r="T56" s="12">
        <v>0.30296611800000001</v>
      </c>
      <c r="U56" s="10">
        <v>6.4670000099999996</v>
      </c>
      <c r="V56" s="13">
        <v>2167.3998999999999</v>
      </c>
      <c r="W56" s="12">
        <v>0.26649999600000002</v>
      </c>
      <c r="X56" s="12">
        <v>15.930577299999999</v>
      </c>
      <c r="Y56" s="17" t="str">
        <f t="shared" si="28"/>
        <v>I</v>
      </c>
      <c r="Z56" s="17">
        <f t="shared" si="8"/>
        <v>15.930600630914865</v>
      </c>
      <c r="AA56" s="17">
        <f t="shared" si="9"/>
        <v>2.1562258462507922</v>
      </c>
      <c r="AB56" s="17">
        <f t="shared" si="10"/>
        <v>1.5801872829279917</v>
      </c>
      <c r="AC56" s="17">
        <f t="shared" si="11"/>
        <v>0.84069399369085129</v>
      </c>
      <c r="AD56" s="17">
        <f t="shared" si="12"/>
        <v>0.94599063585360044</v>
      </c>
      <c r="AE56" s="17">
        <f t="shared" si="13"/>
        <v>0.8</v>
      </c>
      <c r="AF56" s="17">
        <v>6340</v>
      </c>
      <c r="AG56" s="17">
        <v>3830</v>
      </c>
      <c r="AH56" s="17">
        <f t="shared" si="14"/>
        <v>1.7007417699999999E-2</v>
      </c>
      <c r="AI56" s="17">
        <f t="shared" si="15"/>
        <v>5329.9999199999975</v>
      </c>
      <c r="AJ56" s="17">
        <f t="shared" si="16"/>
        <v>3064</v>
      </c>
      <c r="AK56" s="17">
        <v>1.70074177</v>
      </c>
      <c r="AL56" s="17">
        <v>2167.3998999999999</v>
      </c>
      <c r="AM56" s="20" t="str">
        <f t="shared" si="17"/>
        <v>I</v>
      </c>
      <c r="AN56" s="20"/>
      <c r="AO56" s="18">
        <f t="shared" si="29"/>
        <v>0.84069399369085129</v>
      </c>
      <c r="AP56" s="10" t="str">
        <f t="shared" si="30"/>
        <v>Daño del 0-15%</v>
      </c>
      <c r="AQ56" s="19" t="str">
        <f t="shared" ca="1" si="24"/>
        <v>D:\1. Pozos\11. Noviembre\4. DT-96\images\sec_max_pen_T55.png</v>
      </c>
      <c r="AR56" s="19" t="str">
        <f t="shared" ca="1" si="25"/>
        <v>D:\1. Pozos\11. Noviembre\4. DT-96\images\sec_max_res_T55.png</v>
      </c>
      <c r="AS56" s="10" t="str">
        <f t="shared" ca="1" si="26"/>
        <v>D:\1. Pozos\11. Noviembre\4. DT-96\images\55.emf</v>
      </c>
      <c r="AT56" s="19" t="str">
        <f t="shared" ca="1" si="27"/>
        <v>D:\1. Pozos\11. Noviembre\4. DT-96\images\GraficaIntegradaT55.png</v>
      </c>
    </row>
    <row r="57" spans="1:46" x14ac:dyDescent="0.25">
      <c r="A57" s="10" t="str">
        <f t="shared" si="0"/>
        <v>Well-1</v>
      </c>
      <c r="B57" s="10" t="str">
        <f t="shared" si="1"/>
        <v>Exploratorio</v>
      </c>
      <c r="C57" s="10" t="str">
        <f t="shared" si="2"/>
        <v>Colombia</v>
      </c>
      <c r="D57" s="10" t="str">
        <f t="shared" si="3"/>
        <v>State</v>
      </c>
      <c r="E57" s="10" t="str">
        <f t="shared" si="4"/>
        <v>Ecopetrol</v>
      </c>
      <c r="F57" s="10" t="s">
        <v>246</v>
      </c>
      <c r="G57" s="16" t="str">
        <f t="shared" si="5"/>
        <v>24/5/2022</v>
      </c>
      <c r="H57" s="10">
        <v>7</v>
      </c>
      <c r="I57" s="10">
        <v>6.3659999999999997</v>
      </c>
      <c r="J57" s="10">
        <f t="shared" si="6"/>
        <v>0.31700000000000017</v>
      </c>
      <c r="K57" s="10">
        <v>56</v>
      </c>
      <c r="L57" s="13">
        <v>2199.873</v>
      </c>
      <c r="M57" s="13">
        <v>2240.848</v>
      </c>
      <c r="N57" s="13">
        <v>40.975999999999999</v>
      </c>
      <c r="O57" s="10">
        <v>6.3360004400000003</v>
      </c>
      <c r="P57" s="11">
        <v>2239</v>
      </c>
      <c r="Q57" s="12">
        <v>0.343499899</v>
      </c>
      <c r="R57" s="12">
        <v>5.7721471800000002</v>
      </c>
      <c r="S57" s="12">
        <v>2240.8000499999998</v>
      </c>
      <c r="T57" s="12">
        <v>0.30270361899999998</v>
      </c>
      <c r="U57" s="10">
        <v>6.4759998300000001</v>
      </c>
      <c r="V57" s="13">
        <v>2238.6001000000001</v>
      </c>
      <c r="W57" s="12">
        <v>0.26200008400000002</v>
      </c>
      <c r="X57" s="12">
        <v>17.350109100000001</v>
      </c>
      <c r="Y57" s="17" t="str">
        <f t="shared" si="28"/>
        <v>I</v>
      </c>
      <c r="Z57" s="17">
        <f t="shared" si="8"/>
        <v>17.350131230283949</v>
      </c>
      <c r="AA57" s="17">
        <f t="shared" si="9"/>
        <v>2.2095861786272097</v>
      </c>
      <c r="AB57" s="17">
        <f t="shared" si="10"/>
        <v>1.5671693198304082</v>
      </c>
      <c r="AC57" s="17">
        <f t="shared" si="11"/>
        <v>0.82649868769716051</v>
      </c>
      <c r="AD57" s="17">
        <f t="shared" si="12"/>
        <v>0.94664153400847961</v>
      </c>
      <c r="AE57" s="17">
        <f t="shared" si="13"/>
        <v>0.78</v>
      </c>
      <c r="AF57" s="17">
        <v>6340</v>
      </c>
      <c r="AG57" s="17">
        <v>3830</v>
      </c>
      <c r="AH57" s="17">
        <f t="shared" si="14"/>
        <v>1.8416856500000002E-2</v>
      </c>
      <c r="AI57" s="17">
        <f t="shared" si="15"/>
        <v>5240.0016799999976</v>
      </c>
      <c r="AJ57" s="17">
        <f t="shared" si="16"/>
        <v>2987.4</v>
      </c>
      <c r="AK57" s="17">
        <v>1.8416856500000001</v>
      </c>
      <c r="AL57" s="17">
        <v>2238.8998999999999</v>
      </c>
      <c r="AM57" s="20" t="str">
        <f t="shared" si="17"/>
        <v>I</v>
      </c>
      <c r="AN57" s="20"/>
      <c r="AO57" s="18">
        <f t="shared" si="29"/>
        <v>0.82649868769716051</v>
      </c>
      <c r="AP57" s="10" t="str">
        <f t="shared" si="30"/>
        <v>Daño del 0-15%</v>
      </c>
      <c r="AQ57" s="19" t="str">
        <f t="shared" ca="1" si="24"/>
        <v>D:\1. Pozos\11. Noviembre\4. DT-96\images\sec_max_pen_T56.png</v>
      </c>
      <c r="AR57" s="19" t="str">
        <f t="shared" ca="1" si="25"/>
        <v>D:\1. Pozos\11. Noviembre\4. DT-96\images\sec_max_res_T56.png</v>
      </c>
      <c r="AS57" s="10" t="str">
        <f t="shared" ca="1" si="26"/>
        <v>D:\1. Pozos\11. Noviembre\4. DT-96\images\56.emf</v>
      </c>
      <c r="AT57" s="19" t="str">
        <f t="shared" ca="1" si="27"/>
        <v>D:\1. Pozos\11. Noviembre\4. DT-96\images\GraficaIntegradaT56.png</v>
      </c>
    </row>
    <row r="58" spans="1:46" x14ac:dyDescent="0.25">
      <c r="A58" s="10" t="str">
        <f t="shared" si="0"/>
        <v>Well-1</v>
      </c>
      <c r="B58" s="10" t="str">
        <f t="shared" si="1"/>
        <v>Exploratorio</v>
      </c>
      <c r="C58" s="10" t="str">
        <f t="shared" si="2"/>
        <v>Colombia</v>
      </c>
      <c r="D58" s="10" t="str">
        <f t="shared" si="3"/>
        <v>State</v>
      </c>
      <c r="E58" s="10" t="str">
        <f t="shared" si="4"/>
        <v>Ecopetrol</v>
      </c>
      <c r="F58" s="10" t="s">
        <v>246</v>
      </c>
      <c r="G58" s="16" t="str">
        <f t="shared" si="5"/>
        <v>24/5/2022</v>
      </c>
      <c r="H58" s="10">
        <v>7</v>
      </c>
      <c r="I58" s="10">
        <v>6.3659999999999997</v>
      </c>
      <c r="J58" s="10">
        <f t="shared" si="6"/>
        <v>0.31700000000000017</v>
      </c>
      <c r="K58" s="10">
        <v>57</v>
      </c>
      <c r="L58" s="21">
        <v>2242.348</v>
      </c>
      <c r="M58" s="21">
        <v>2281.973</v>
      </c>
      <c r="N58" s="13">
        <v>39.624000000000002</v>
      </c>
      <c r="O58" s="22">
        <v>6.1860003499999996</v>
      </c>
      <c r="P58" s="11">
        <v>2265.6001000000001</v>
      </c>
      <c r="Q58" s="12">
        <v>0.41650009199999999</v>
      </c>
      <c r="R58" s="12">
        <v>13.011867499999999</v>
      </c>
      <c r="S58" s="12">
        <v>2265.5</v>
      </c>
      <c r="T58" s="12">
        <v>0.30305028000000001</v>
      </c>
      <c r="U58" s="10">
        <v>6.6830000900000002</v>
      </c>
      <c r="V58" s="13">
        <v>2272</v>
      </c>
      <c r="W58" s="12">
        <v>0.158499956</v>
      </c>
      <c r="X58" s="12">
        <v>50</v>
      </c>
      <c r="Y58" s="17" t="str">
        <f t="shared" si="28"/>
        <v>III</v>
      </c>
      <c r="Z58" s="17">
        <f t="shared" si="8"/>
        <v>50.000013880126218</v>
      </c>
      <c r="AA58" s="17">
        <f t="shared" si="9"/>
        <v>8.0342662767550763</v>
      </c>
      <c r="AB58" s="17">
        <f t="shared" si="10"/>
        <v>5.6975330756326326</v>
      </c>
      <c r="AC58" s="17">
        <f t="shared" si="11"/>
        <v>0.49999986119873779</v>
      </c>
      <c r="AD58" s="17">
        <f t="shared" si="12"/>
        <v>0.74012334621836828</v>
      </c>
      <c r="AE58" s="17">
        <f t="shared" si="13"/>
        <v>0.37</v>
      </c>
      <c r="AF58" s="17">
        <v>6340</v>
      </c>
      <c r="AG58" s="17">
        <v>3830</v>
      </c>
      <c r="AH58" s="17">
        <f t="shared" si="14"/>
        <v>6.7000837300000005E-2</v>
      </c>
      <c r="AI58" s="17">
        <f t="shared" si="15"/>
        <v>3169.9991199999977</v>
      </c>
      <c r="AJ58" s="17">
        <f t="shared" si="16"/>
        <v>1417.1</v>
      </c>
      <c r="AK58" s="17">
        <v>6.7000837300000002</v>
      </c>
      <c r="AL58" s="17">
        <v>2265.3000499999998</v>
      </c>
      <c r="AM58" s="20" t="str">
        <f t="shared" si="17"/>
        <v>III</v>
      </c>
      <c r="AN58" s="20" t="s">
        <v>423</v>
      </c>
      <c r="AO58" s="18">
        <f t="shared" si="29"/>
        <v>0.4999998611987379</v>
      </c>
      <c r="AP58" s="10" t="str">
        <f t="shared" si="30"/>
        <v>Daño del 25-50%</v>
      </c>
      <c r="AQ58" s="19" t="str">
        <f t="shared" ca="1" si="24"/>
        <v>D:\1. Pozos\11. Noviembre\4. DT-96\images\sec_max_pen_T57.png</v>
      </c>
      <c r="AR58" s="19" t="str">
        <f t="shared" ca="1" si="25"/>
        <v>D:\1. Pozos\11. Noviembre\4. DT-96\images\sec_max_res_T57.png</v>
      </c>
      <c r="AS58" s="10" t="str">
        <f t="shared" ca="1" si="26"/>
        <v>D:\1. Pozos\11. Noviembre\4. DT-96\images\57.emf</v>
      </c>
      <c r="AT58" s="19" t="str">
        <f t="shared" ca="1" si="27"/>
        <v>D:\1. Pozos\11. Noviembre\4. DT-96\images\GraficaIntegradaT57.png</v>
      </c>
    </row>
    <row r="59" spans="1:46" x14ac:dyDescent="0.25">
      <c r="A59" s="10" t="str">
        <f t="shared" si="0"/>
        <v>Well-1</v>
      </c>
      <c r="B59" s="10" t="str">
        <f t="shared" si="1"/>
        <v>Exploratorio</v>
      </c>
      <c r="C59" s="10" t="str">
        <f t="shared" si="2"/>
        <v>Colombia</v>
      </c>
      <c r="D59" s="10" t="str">
        <f t="shared" si="3"/>
        <v>State</v>
      </c>
      <c r="E59" s="10" t="str">
        <f t="shared" si="4"/>
        <v>Ecopetrol</v>
      </c>
      <c r="F59" s="10" t="s">
        <v>246</v>
      </c>
      <c r="G59" s="16" t="str">
        <f t="shared" si="5"/>
        <v>24/5/2022</v>
      </c>
      <c r="H59" s="10">
        <v>7</v>
      </c>
      <c r="I59" s="10">
        <v>6.3659999999999997</v>
      </c>
      <c r="J59" s="10">
        <f t="shared" si="6"/>
        <v>0.31700000000000017</v>
      </c>
      <c r="K59" s="10">
        <v>58</v>
      </c>
      <c r="L59" s="21">
        <v>2283.473</v>
      </c>
      <c r="M59" s="21">
        <v>2324.2550000000001</v>
      </c>
      <c r="N59" s="13">
        <v>40.783000000000001</v>
      </c>
      <c r="O59" s="10">
        <v>6.29350042</v>
      </c>
      <c r="P59" s="11">
        <v>2307.8998999999999</v>
      </c>
      <c r="Q59" s="12">
        <v>0.361500025</v>
      </c>
      <c r="R59" s="12">
        <v>8.2285747499999999</v>
      </c>
      <c r="S59" s="12">
        <v>2307.8998999999999</v>
      </c>
      <c r="T59" s="12">
        <v>0.30048251199999998</v>
      </c>
      <c r="U59" s="10">
        <v>6.5199999799999997</v>
      </c>
      <c r="V59" s="13">
        <v>2306</v>
      </c>
      <c r="W59" s="12">
        <v>0.24000001000000001</v>
      </c>
      <c r="X59" s="12">
        <v>24.2901974</v>
      </c>
      <c r="Y59" s="17" t="str">
        <f t="shared" si="28"/>
        <v>II</v>
      </c>
      <c r="Z59" s="17">
        <f t="shared" si="8"/>
        <v>24.290217665615181</v>
      </c>
      <c r="AA59" s="17">
        <f t="shared" si="9"/>
        <v>3.5989440674415674</v>
      </c>
      <c r="AB59" s="17">
        <f t="shared" si="10"/>
        <v>2.6379128771075733</v>
      </c>
      <c r="AC59" s="17">
        <f t="shared" si="11"/>
        <v>0.75709782334384812</v>
      </c>
      <c r="AD59" s="17">
        <f t="shared" si="12"/>
        <v>0.89310435614462136</v>
      </c>
      <c r="AE59" s="17">
        <f t="shared" si="13"/>
        <v>0.68</v>
      </c>
      <c r="AF59" s="17">
        <v>6340</v>
      </c>
      <c r="AG59" s="17">
        <v>3830</v>
      </c>
      <c r="AH59" s="17">
        <f t="shared" si="14"/>
        <v>3.5403571100000003E-2</v>
      </c>
      <c r="AI59" s="17">
        <f t="shared" si="15"/>
        <v>4800.0001999999968</v>
      </c>
      <c r="AJ59" s="17">
        <f t="shared" si="16"/>
        <v>2604.4</v>
      </c>
      <c r="AK59" s="17">
        <v>3.54035711</v>
      </c>
      <c r="AL59" s="17">
        <v>2307.8998999999999</v>
      </c>
      <c r="AM59" s="20" t="str">
        <f t="shared" si="17"/>
        <v>II</v>
      </c>
      <c r="AN59" s="20"/>
      <c r="AO59" s="18">
        <f t="shared" si="29"/>
        <v>0.75709782334384823</v>
      </c>
      <c r="AP59" s="10" t="str">
        <f t="shared" si="30"/>
        <v>Daño del 15-25%</v>
      </c>
      <c r="AQ59" s="19" t="str">
        <f t="shared" ca="1" si="24"/>
        <v>D:\1. Pozos\11. Noviembre\4. DT-96\images\sec_max_pen_T58.png</v>
      </c>
      <c r="AR59" s="19" t="str">
        <f t="shared" ca="1" si="25"/>
        <v>D:\1. Pozos\11. Noviembre\4. DT-96\images\sec_max_res_T58.png</v>
      </c>
      <c r="AS59" s="10" t="str">
        <f t="shared" ca="1" si="26"/>
        <v>D:\1. Pozos\11. Noviembre\4. DT-96\images\58.emf</v>
      </c>
      <c r="AT59" s="19" t="str">
        <f t="shared" ca="1" si="27"/>
        <v>D:\1. Pozos\11. Noviembre\4. DT-96\images\GraficaIntegradaT58.png</v>
      </c>
    </row>
    <row r="60" spans="1:46" x14ac:dyDescent="0.25">
      <c r="A60" s="10" t="str">
        <f t="shared" si="0"/>
        <v>Well-1</v>
      </c>
      <c r="B60" s="10" t="str">
        <f t="shared" si="1"/>
        <v>Exploratorio</v>
      </c>
      <c r="C60" s="10" t="str">
        <f t="shared" si="2"/>
        <v>Colombia</v>
      </c>
      <c r="D60" s="10" t="str">
        <f t="shared" si="3"/>
        <v>State</v>
      </c>
      <c r="E60" s="10" t="str">
        <f t="shared" si="4"/>
        <v>Ecopetrol</v>
      </c>
      <c r="F60" s="10" t="s">
        <v>246</v>
      </c>
      <c r="G60" s="16" t="str">
        <f t="shared" si="5"/>
        <v>24/5/2022</v>
      </c>
      <c r="H60" s="10">
        <v>7</v>
      </c>
      <c r="I60" s="10">
        <v>6.3659999999999997</v>
      </c>
      <c r="J60" s="10">
        <f t="shared" si="6"/>
        <v>0.31700000000000017</v>
      </c>
      <c r="K60" s="10">
        <v>59</v>
      </c>
      <c r="L60" s="21">
        <v>2325.7550000000001</v>
      </c>
      <c r="M60" s="21">
        <v>2365.9580000000001</v>
      </c>
      <c r="N60" s="13">
        <v>40.203000000000003</v>
      </c>
      <c r="O60" s="10">
        <v>6.3040003799999997</v>
      </c>
      <c r="P60" s="11">
        <v>2332.6001000000001</v>
      </c>
      <c r="Q60" s="12">
        <v>0.36350011799999998</v>
      </c>
      <c r="R60" s="12">
        <v>9.2260141400000002</v>
      </c>
      <c r="S60" s="12">
        <v>2331.1001000000001</v>
      </c>
      <c r="T60" s="12">
        <v>0.29895472499999998</v>
      </c>
      <c r="U60" s="10">
        <v>6.8010001200000003</v>
      </c>
      <c r="V60" s="13">
        <v>2331.1001000000001</v>
      </c>
      <c r="W60" s="12">
        <v>9.94999409E-2</v>
      </c>
      <c r="X60" s="12">
        <v>68.611991900000007</v>
      </c>
      <c r="Y60" s="17" t="str">
        <f t="shared" si="28"/>
        <v>IV</v>
      </c>
      <c r="Z60" s="17">
        <f t="shared" si="8"/>
        <v>68.61200602523661</v>
      </c>
      <c r="AA60" s="17">
        <f t="shared" si="9"/>
        <v>7.8838786491316926</v>
      </c>
      <c r="AB60" s="17">
        <f t="shared" si="10"/>
        <v>4.7199387367422796</v>
      </c>
      <c r="AC60" s="17">
        <f t="shared" si="11"/>
        <v>0.3138799397476339</v>
      </c>
      <c r="AD60" s="17">
        <f t="shared" si="12"/>
        <v>0.78900306316288604</v>
      </c>
      <c r="AE60" s="17">
        <f t="shared" si="13"/>
        <v>0.25</v>
      </c>
      <c r="AF60" s="17">
        <v>6340</v>
      </c>
      <c r="AG60" s="17">
        <v>3830</v>
      </c>
      <c r="AH60" s="17">
        <f t="shared" si="14"/>
        <v>2.6904461400000003E-2</v>
      </c>
      <c r="AI60" s="17">
        <f t="shared" si="15"/>
        <v>1989.9988179999989</v>
      </c>
      <c r="AJ60" s="17">
        <f t="shared" si="16"/>
        <v>957.5</v>
      </c>
      <c r="AK60" s="17">
        <v>2.6904461400000002</v>
      </c>
      <c r="AL60" s="17">
        <v>2332.6001000000001</v>
      </c>
      <c r="AM60" s="20" t="str">
        <f t="shared" si="17"/>
        <v>II</v>
      </c>
      <c r="AN60" s="20" t="s">
        <v>423</v>
      </c>
      <c r="AO60" s="18">
        <f t="shared" si="29"/>
        <v>0.31387993974763395</v>
      </c>
      <c r="AP60" s="10" t="str">
        <f t="shared" si="30"/>
        <v>Daño del 50-100%</v>
      </c>
      <c r="AQ60" s="19" t="str">
        <f t="shared" ca="1" si="24"/>
        <v>D:\1. Pozos\11. Noviembre\4. DT-96\images\sec_max_pen_T59.png</v>
      </c>
      <c r="AR60" s="19" t="str">
        <f t="shared" ca="1" si="25"/>
        <v>D:\1. Pozos\11. Noviembre\4. DT-96\images\sec_max_res_T59.png</v>
      </c>
      <c r="AS60" s="10" t="str">
        <f t="shared" ca="1" si="26"/>
        <v>D:\1. Pozos\11. Noviembre\4. DT-96\images\59.emf</v>
      </c>
      <c r="AT60" s="19" t="str">
        <f t="shared" ca="1" si="27"/>
        <v>D:\1. Pozos\11. Noviembre\4. DT-96\images\GraficaIntegradaT59.png</v>
      </c>
    </row>
    <row r="61" spans="1:46" x14ac:dyDescent="0.25">
      <c r="A61" s="10" t="str">
        <f t="shared" si="0"/>
        <v>Well-1</v>
      </c>
      <c r="B61" s="10" t="str">
        <f t="shared" si="1"/>
        <v>Exploratorio</v>
      </c>
      <c r="C61" s="10" t="str">
        <f t="shared" si="2"/>
        <v>Colombia</v>
      </c>
      <c r="D61" s="10" t="str">
        <f t="shared" si="3"/>
        <v>State</v>
      </c>
      <c r="E61" s="10" t="str">
        <f t="shared" si="4"/>
        <v>Ecopetrol</v>
      </c>
      <c r="F61" s="10" t="s">
        <v>246</v>
      </c>
      <c r="G61" s="16" t="str">
        <f t="shared" si="5"/>
        <v>24/5/2022</v>
      </c>
      <c r="H61" s="10">
        <v>7</v>
      </c>
      <c r="I61" s="10">
        <v>6.3659999999999997</v>
      </c>
      <c r="J61" s="10">
        <f t="shared" si="6"/>
        <v>0.31700000000000017</v>
      </c>
      <c r="K61" s="10">
        <v>60</v>
      </c>
      <c r="L61" s="21">
        <v>2367.4580000000001</v>
      </c>
      <c r="M61" s="21">
        <v>2403.221</v>
      </c>
      <c r="N61" s="13">
        <v>35.762999999999998</v>
      </c>
      <c r="O61" s="10">
        <v>6.34150028</v>
      </c>
      <c r="P61" s="11">
        <v>2373.1001000000001</v>
      </c>
      <c r="Q61" s="12">
        <v>0.34249997100000001</v>
      </c>
      <c r="R61" s="12">
        <v>12.555915799999999</v>
      </c>
      <c r="S61" s="12">
        <v>2367.5</v>
      </c>
      <c r="T61" s="12">
        <v>0.300595999</v>
      </c>
      <c r="U61" s="10">
        <v>6.4759998300000001</v>
      </c>
      <c r="V61" s="13">
        <v>2373.3000499999998</v>
      </c>
      <c r="W61" s="12">
        <v>0.26200008400000002</v>
      </c>
      <c r="X61" s="12">
        <v>17.350109100000001</v>
      </c>
      <c r="Y61" s="17" t="str">
        <f t="shared" si="28"/>
        <v>I</v>
      </c>
      <c r="Z61" s="17">
        <f t="shared" si="8"/>
        <v>17.350131230283949</v>
      </c>
      <c r="AA61" s="17">
        <f t="shared" si="9"/>
        <v>2.1209421124554373</v>
      </c>
      <c r="AB61" s="17">
        <f t="shared" si="10"/>
        <v>1.5123177602382798</v>
      </c>
      <c r="AC61" s="17">
        <f t="shared" si="11"/>
        <v>0.82649868769716051</v>
      </c>
      <c r="AD61" s="17">
        <f t="shared" si="12"/>
        <v>0.94938411198808603</v>
      </c>
      <c r="AE61" s="17">
        <f t="shared" si="13"/>
        <v>0.78</v>
      </c>
      <c r="AF61" s="17">
        <v>6340</v>
      </c>
      <c r="AG61" s="17">
        <v>3830</v>
      </c>
      <c r="AH61" s="17">
        <f t="shared" si="14"/>
        <v>1.661924E-2</v>
      </c>
      <c r="AI61" s="17">
        <f t="shared" si="15"/>
        <v>5240.0016799999976</v>
      </c>
      <c r="AJ61" s="17">
        <f t="shared" si="16"/>
        <v>2987.4</v>
      </c>
      <c r="AK61" s="17">
        <v>1.661924</v>
      </c>
      <c r="AL61" s="17">
        <v>2375.6999500000002</v>
      </c>
      <c r="AM61" s="20" t="str">
        <f t="shared" si="17"/>
        <v>I</v>
      </c>
      <c r="AN61" s="20"/>
      <c r="AO61" s="18">
        <f t="shared" si="29"/>
        <v>0.82649868769716051</v>
      </c>
      <c r="AP61" s="10" t="str">
        <f t="shared" si="30"/>
        <v>Daño del 0-15%</v>
      </c>
      <c r="AQ61" s="19" t="str">
        <f t="shared" ca="1" si="24"/>
        <v>D:\1. Pozos\11. Noviembre\4. DT-96\images\sec_max_pen_T60.png</v>
      </c>
      <c r="AR61" s="19" t="str">
        <f t="shared" ca="1" si="25"/>
        <v>D:\1. Pozos\11. Noviembre\4. DT-96\images\sec_max_res_T60.png</v>
      </c>
      <c r="AS61" s="10" t="str">
        <f t="shared" ca="1" si="26"/>
        <v>D:\1. Pozos\11. Noviembre\4. DT-96\images\60.emf</v>
      </c>
      <c r="AT61" s="19" t="str">
        <f t="shared" ca="1" si="27"/>
        <v>D:\1. Pozos\11. Noviembre\4. DT-96\images\GraficaIntegradaT60.png</v>
      </c>
    </row>
    <row r="62" spans="1:46" x14ac:dyDescent="0.25">
      <c r="A62" s="10" t="str">
        <f t="shared" si="0"/>
        <v>Well-1</v>
      </c>
      <c r="B62" s="10" t="str">
        <f t="shared" si="1"/>
        <v>Exploratorio</v>
      </c>
      <c r="C62" s="10" t="str">
        <f t="shared" si="2"/>
        <v>Colombia</v>
      </c>
      <c r="D62" s="10" t="str">
        <f t="shared" si="3"/>
        <v>State</v>
      </c>
      <c r="E62" s="10" t="str">
        <f t="shared" si="4"/>
        <v>Ecopetrol</v>
      </c>
      <c r="F62" s="10" t="s">
        <v>246</v>
      </c>
      <c r="G62" s="16" t="str">
        <f t="shared" si="5"/>
        <v>24/5/2022</v>
      </c>
      <c r="H62" s="10">
        <v>7</v>
      </c>
      <c r="I62" s="10">
        <v>6.3659999999999997</v>
      </c>
      <c r="J62" s="10">
        <f t="shared" si="6"/>
        <v>0.31700000000000017</v>
      </c>
      <c r="K62" s="10">
        <v>61</v>
      </c>
      <c r="L62" s="21">
        <v>2404.721</v>
      </c>
      <c r="M62" s="21">
        <v>2444.538</v>
      </c>
      <c r="N62" s="13">
        <v>39.817</v>
      </c>
      <c r="O62" s="10">
        <v>6.2500004799999997</v>
      </c>
      <c r="P62" s="11">
        <v>2425.6001000000001</v>
      </c>
      <c r="Q62" s="12">
        <v>0.44499993300000001</v>
      </c>
      <c r="R62" s="12">
        <v>8.3818550100000007</v>
      </c>
      <c r="S62" s="12">
        <v>2404.6999500000002</v>
      </c>
      <c r="T62" s="12">
        <v>0.302275181</v>
      </c>
      <c r="U62" s="10">
        <v>6.4809999500000002</v>
      </c>
      <c r="V62" s="13">
        <v>2425.6999500000002</v>
      </c>
      <c r="W62" s="12">
        <v>0.25950002700000002</v>
      </c>
      <c r="X62" s="12">
        <v>18.1387711</v>
      </c>
      <c r="Y62" s="17" t="str">
        <f t="shared" si="28"/>
        <v>I</v>
      </c>
      <c r="Z62" s="17">
        <f t="shared" si="8"/>
        <v>18.138792744479531</v>
      </c>
      <c r="AA62" s="17">
        <f t="shared" si="9"/>
        <v>3.6959912361478775</v>
      </c>
      <c r="AB62" s="17">
        <f t="shared" si="10"/>
        <v>3.0115888247099765</v>
      </c>
      <c r="AC62" s="17">
        <f t="shared" si="11"/>
        <v>0.81861207255520474</v>
      </c>
      <c r="AD62" s="17">
        <f t="shared" si="12"/>
        <v>0.8744205587645012</v>
      </c>
      <c r="AE62" s="17">
        <f t="shared" si="13"/>
        <v>0.72</v>
      </c>
      <c r="AF62" s="17">
        <v>6340</v>
      </c>
      <c r="AG62" s="17">
        <v>3830</v>
      </c>
      <c r="AH62" s="17">
        <f t="shared" si="14"/>
        <v>1.6339361699999999E-2</v>
      </c>
      <c r="AI62" s="17">
        <f t="shared" si="15"/>
        <v>5190.0005399999982</v>
      </c>
      <c r="AJ62" s="17">
        <f t="shared" si="16"/>
        <v>2757.6</v>
      </c>
      <c r="AK62" s="17">
        <v>1.6339361699999999</v>
      </c>
      <c r="AL62" s="17">
        <v>2431.3000499999998</v>
      </c>
      <c r="AM62" s="20" t="str">
        <f t="shared" si="17"/>
        <v>I</v>
      </c>
      <c r="AN62" s="20"/>
      <c r="AO62" s="18">
        <f t="shared" si="29"/>
        <v>0.81861207255520474</v>
      </c>
      <c r="AP62" s="10" t="str">
        <f t="shared" si="30"/>
        <v>Daño del 0-15%</v>
      </c>
      <c r="AQ62" s="19" t="str">
        <f t="shared" ca="1" si="24"/>
        <v>D:\1. Pozos\11. Noviembre\4. DT-96\images\sec_max_pen_T61.png</v>
      </c>
      <c r="AR62" s="19" t="str">
        <f t="shared" ca="1" si="25"/>
        <v>D:\1. Pozos\11. Noviembre\4. DT-96\images\sec_max_res_T61.png</v>
      </c>
      <c r="AS62" s="10" t="str">
        <f t="shared" ca="1" si="26"/>
        <v>D:\1. Pozos\11. Noviembre\4. DT-96\images\61.emf</v>
      </c>
      <c r="AT62" s="19" t="str">
        <f t="shared" ca="1" si="27"/>
        <v>D:\1. Pozos\11. Noviembre\4. DT-96\images\GraficaIntegradaT61.png</v>
      </c>
    </row>
    <row r="63" spans="1:46" x14ac:dyDescent="0.25">
      <c r="A63" s="10" t="str">
        <f t="shared" si="0"/>
        <v>Well-1</v>
      </c>
      <c r="B63" s="10" t="str">
        <f t="shared" si="1"/>
        <v>Exploratorio</v>
      </c>
      <c r="C63" s="10" t="str">
        <f t="shared" si="2"/>
        <v>Colombia</v>
      </c>
      <c r="D63" s="10" t="str">
        <f t="shared" si="3"/>
        <v>State</v>
      </c>
      <c r="E63" s="10" t="str">
        <f t="shared" si="4"/>
        <v>Ecopetrol</v>
      </c>
      <c r="F63" s="10" t="s">
        <v>246</v>
      </c>
      <c r="G63" s="16" t="str">
        <f t="shared" si="5"/>
        <v>24/5/2022</v>
      </c>
      <c r="H63" s="10">
        <v>7</v>
      </c>
      <c r="I63" s="10">
        <v>6.3659999999999997</v>
      </c>
      <c r="J63" s="10">
        <f t="shared" si="6"/>
        <v>0.31700000000000017</v>
      </c>
      <c r="K63" s="10">
        <v>62</v>
      </c>
      <c r="L63" s="21">
        <v>2446.038</v>
      </c>
      <c r="M63" s="21">
        <v>2485.6619999999998</v>
      </c>
      <c r="N63" s="13">
        <v>39.624000000000002</v>
      </c>
      <c r="O63" s="10">
        <v>6.3045001000000003</v>
      </c>
      <c r="P63" s="11">
        <v>2485.1999500000002</v>
      </c>
      <c r="Q63" s="12">
        <v>0.36249995200000001</v>
      </c>
      <c r="R63" s="12">
        <v>12.089597700000001</v>
      </c>
      <c r="S63" s="12">
        <v>2446</v>
      </c>
      <c r="T63" s="12">
        <v>0.29811406099999999</v>
      </c>
      <c r="U63" s="10">
        <v>6.7779998800000003</v>
      </c>
      <c r="V63" s="13">
        <v>2447.3998999999999</v>
      </c>
      <c r="W63" s="12">
        <v>0.111000061</v>
      </c>
      <c r="X63" s="12">
        <v>64.984199500000003</v>
      </c>
      <c r="Y63" s="17" t="str">
        <f t="shared" si="28"/>
        <v>IV</v>
      </c>
      <c r="Z63" s="17">
        <f t="shared" si="8"/>
        <v>64.984207886435357</v>
      </c>
      <c r="AA63" s="17">
        <f t="shared" si="9"/>
        <v>7.5105047583392093</v>
      </c>
      <c r="AB63" s="17">
        <f t="shared" si="10"/>
        <v>4.5425612730182863</v>
      </c>
      <c r="AC63" s="17">
        <f t="shared" si="11"/>
        <v>0.35015792113564642</v>
      </c>
      <c r="AD63" s="17">
        <f t="shared" si="12"/>
        <v>0.79787193634908571</v>
      </c>
      <c r="AE63" s="17">
        <f t="shared" si="13"/>
        <v>0.28000000000000003</v>
      </c>
      <c r="AF63" s="17">
        <v>6340</v>
      </c>
      <c r="AG63" s="17">
        <v>3830</v>
      </c>
      <c r="AH63" s="17">
        <f t="shared" si="14"/>
        <v>2.7968430500000002E-2</v>
      </c>
      <c r="AI63" s="17">
        <f t="shared" si="15"/>
        <v>2220.0012199999983</v>
      </c>
      <c r="AJ63" s="17">
        <f t="shared" si="16"/>
        <v>1072.4000000000001</v>
      </c>
      <c r="AK63" s="17">
        <v>2.7968430500000001</v>
      </c>
      <c r="AL63" s="17">
        <v>2485.1001000000001</v>
      </c>
      <c r="AM63" s="20" t="str">
        <f t="shared" si="17"/>
        <v>II</v>
      </c>
      <c r="AN63" s="20" t="s">
        <v>423</v>
      </c>
      <c r="AO63" s="18">
        <f t="shared" si="29"/>
        <v>0.35015792113564648</v>
      </c>
      <c r="AP63" s="10" t="str">
        <f t="shared" si="30"/>
        <v>Daño del 50-100%</v>
      </c>
      <c r="AQ63" s="19" t="str">
        <f t="shared" ca="1" si="24"/>
        <v>D:\1. Pozos\11. Noviembre\4. DT-96\images\sec_max_pen_T62.png</v>
      </c>
      <c r="AR63" s="19" t="str">
        <f t="shared" ca="1" si="25"/>
        <v>D:\1. Pozos\11. Noviembre\4. DT-96\images\sec_max_res_T62.png</v>
      </c>
      <c r="AS63" s="10" t="str">
        <f t="shared" ca="1" si="26"/>
        <v>D:\1. Pozos\11. Noviembre\4. DT-96\images\62.emf</v>
      </c>
      <c r="AT63" s="19" t="str">
        <f t="shared" ca="1" si="27"/>
        <v>D:\1. Pozos\11. Noviembre\4. DT-96\images\GraficaIntegradaT62.png</v>
      </c>
    </row>
    <row r="64" spans="1:46" x14ac:dyDescent="0.25">
      <c r="A64" s="10" t="str">
        <f t="shared" si="0"/>
        <v>Well-1</v>
      </c>
      <c r="B64" s="10" t="str">
        <f t="shared" si="1"/>
        <v>Exploratorio</v>
      </c>
      <c r="C64" s="10" t="str">
        <f t="shared" si="2"/>
        <v>Colombia</v>
      </c>
      <c r="D64" s="10" t="str">
        <f t="shared" si="3"/>
        <v>State</v>
      </c>
      <c r="E64" s="10" t="str">
        <f t="shared" si="4"/>
        <v>Ecopetrol</v>
      </c>
      <c r="F64" s="10" t="s">
        <v>246</v>
      </c>
      <c r="G64" s="16" t="str">
        <f t="shared" si="5"/>
        <v>24/5/2022</v>
      </c>
      <c r="H64" s="10">
        <v>7</v>
      </c>
      <c r="I64" s="10">
        <v>6.3659999999999997</v>
      </c>
      <c r="J64" s="10">
        <f t="shared" si="6"/>
        <v>0.31700000000000017</v>
      </c>
      <c r="K64" s="10">
        <v>63</v>
      </c>
      <c r="L64" s="21">
        <v>2487.1619999999998</v>
      </c>
      <c r="M64" s="21">
        <v>2526.98</v>
      </c>
      <c r="N64" s="13">
        <v>39.817</v>
      </c>
      <c r="O64" s="10">
        <v>6.3130002000000003</v>
      </c>
      <c r="P64" s="11">
        <v>2491.6001000000001</v>
      </c>
      <c r="Q64" s="12">
        <v>0.35400009199999999</v>
      </c>
      <c r="R64" s="12">
        <v>7.9980430599999996</v>
      </c>
      <c r="S64" s="12">
        <v>2487.1999500000002</v>
      </c>
      <c r="T64" s="12">
        <v>0.30117535600000001</v>
      </c>
      <c r="U64" s="10">
        <v>6.5130000099999998</v>
      </c>
      <c r="V64" s="13">
        <v>2495.5</v>
      </c>
      <c r="W64" s="12">
        <v>0.243499994</v>
      </c>
      <c r="X64" s="12">
        <v>23.1861</v>
      </c>
      <c r="Y64" s="17" t="str">
        <f t="shared" si="28"/>
        <v>II</v>
      </c>
      <c r="Z64" s="17">
        <f t="shared" si="8"/>
        <v>23.186121766561556</v>
      </c>
      <c r="AA64" s="17">
        <f t="shared" si="9"/>
        <v>3.1680627857417099</v>
      </c>
      <c r="AB64" s="17">
        <f t="shared" si="10"/>
        <v>2.254466077792916</v>
      </c>
      <c r="AC64" s="17">
        <f t="shared" si="11"/>
        <v>0.76813878233438448</v>
      </c>
      <c r="AD64" s="17">
        <f t="shared" si="12"/>
        <v>0.91227669611035422</v>
      </c>
      <c r="AE64" s="17">
        <f t="shared" si="13"/>
        <v>0.7</v>
      </c>
      <c r="AF64" s="17">
        <v>6340</v>
      </c>
      <c r="AG64" s="17">
        <v>3830</v>
      </c>
      <c r="AH64" s="17">
        <f t="shared" si="14"/>
        <v>2.67504501E-2</v>
      </c>
      <c r="AI64" s="17">
        <f t="shared" si="15"/>
        <v>4869.9998799999976</v>
      </c>
      <c r="AJ64" s="17">
        <f t="shared" si="16"/>
        <v>2681</v>
      </c>
      <c r="AK64" s="17">
        <v>2.6750450099999998</v>
      </c>
      <c r="AL64" s="17">
        <v>2495.6001000000001</v>
      </c>
      <c r="AM64" s="20" t="str">
        <f t="shared" si="17"/>
        <v>II</v>
      </c>
      <c r="AN64" s="20"/>
      <c r="AO64" s="18">
        <f t="shared" si="29"/>
        <v>0.76813878233438448</v>
      </c>
      <c r="AP64" s="10" t="str">
        <f t="shared" si="30"/>
        <v>Daño del 15-25%</v>
      </c>
      <c r="AQ64" s="19" t="str">
        <f t="shared" ca="1" si="24"/>
        <v>D:\1. Pozos\11. Noviembre\4. DT-96\images\sec_max_pen_T63.png</v>
      </c>
      <c r="AR64" s="19" t="str">
        <f t="shared" ca="1" si="25"/>
        <v>D:\1. Pozos\11. Noviembre\4. DT-96\images\sec_max_res_T63.png</v>
      </c>
      <c r="AS64" s="10" t="str">
        <f t="shared" ca="1" si="26"/>
        <v>D:\1. Pozos\11. Noviembre\4. DT-96\images\63.emf</v>
      </c>
      <c r="AT64" s="19" t="str">
        <f t="shared" ca="1" si="27"/>
        <v>D:\1. Pozos\11. Noviembre\4. DT-96\images\GraficaIntegradaT63.png</v>
      </c>
    </row>
    <row r="65" spans="1:46" x14ac:dyDescent="0.25">
      <c r="A65" s="10" t="str">
        <f t="shared" ref="A65:A106" si="31">Pozo</f>
        <v>Well-1</v>
      </c>
      <c r="B65" s="10" t="str">
        <f t="shared" ref="B65:B106" si="32">campo</f>
        <v>Exploratorio</v>
      </c>
      <c r="C65" s="10" t="str">
        <f t="shared" ref="C65:C106" si="33">Pais</f>
        <v>Colombia</v>
      </c>
      <c r="D65" s="10" t="str">
        <f t="shared" ref="D65:D106" si="34">Departamento</f>
        <v>State</v>
      </c>
      <c r="E65" s="10" t="str">
        <f t="shared" ref="E65:E106" si="35">company</f>
        <v>Ecopetrol</v>
      </c>
      <c r="F65" s="10" t="s">
        <v>246</v>
      </c>
      <c r="G65" s="16" t="str">
        <f t="shared" ref="G65:G106" si="36">Logdate</f>
        <v>24/5/2022</v>
      </c>
      <c r="H65" s="10">
        <v>7</v>
      </c>
      <c r="I65" s="10">
        <v>6.3659999999999997</v>
      </c>
      <c r="J65" s="10">
        <f t="shared" si="6"/>
        <v>0.31700000000000017</v>
      </c>
      <c r="K65" s="10">
        <v>64</v>
      </c>
      <c r="L65" s="21">
        <v>2528.48</v>
      </c>
      <c r="M65" s="21">
        <v>2565.98</v>
      </c>
      <c r="N65" s="13">
        <v>37.5</v>
      </c>
      <c r="O65" s="10">
        <v>6.2870001799999997</v>
      </c>
      <c r="P65" s="11">
        <v>2554.3000499999998</v>
      </c>
      <c r="Q65" s="12">
        <v>0.371000051</v>
      </c>
      <c r="R65" s="12">
        <v>7.6962113399999996</v>
      </c>
      <c r="S65" s="12">
        <v>2554.1999500000002</v>
      </c>
      <c r="T65" s="12">
        <v>0.30067825300000001</v>
      </c>
      <c r="U65" s="10">
        <v>6.5149998699999996</v>
      </c>
      <c r="V65" s="13">
        <v>2554.1001000000001</v>
      </c>
      <c r="W65" s="12">
        <v>0.24250006700000001</v>
      </c>
      <c r="X65" s="12">
        <v>23.501535400000002</v>
      </c>
      <c r="Y65" s="17" t="str">
        <f t="shared" si="28"/>
        <v>II</v>
      </c>
      <c r="Z65" s="17">
        <f t="shared" si="8"/>
        <v>23.501556151419596</v>
      </c>
      <c r="AA65" s="17">
        <f t="shared" si="9"/>
        <v>3.6265259022149499</v>
      </c>
      <c r="AB65" s="17">
        <f t="shared" si="10"/>
        <v>2.7011531595025229</v>
      </c>
      <c r="AC65" s="17">
        <f t="shared" si="11"/>
        <v>0.76498443848580411</v>
      </c>
      <c r="AD65" s="17">
        <f t="shared" si="12"/>
        <v>0.88994234202487388</v>
      </c>
      <c r="AE65" s="17">
        <f t="shared" si="13"/>
        <v>0.68</v>
      </c>
      <c r="AF65" s="17">
        <v>6340</v>
      </c>
      <c r="AG65" s="17">
        <v>3830</v>
      </c>
      <c r="AH65" s="17">
        <f t="shared" ref="AH65:AH106" si="37">AK65/100</f>
        <v>3.3549239599999996E-2</v>
      </c>
      <c r="AI65" s="17">
        <f t="shared" si="15"/>
        <v>4850.001339999998</v>
      </c>
      <c r="AJ65" s="17">
        <f t="shared" ref="AJ65:AJ106" si="38">+AE65*AG65</f>
        <v>2604.4</v>
      </c>
      <c r="AK65" s="17">
        <v>3.3549239599999998</v>
      </c>
      <c r="AL65" s="17">
        <v>2554.1999500000002</v>
      </c>
      <c r="AM65" s="20" t="str">
        <f t="shared" ref="AM65:AM106" si="39">IF((AH65)&lt;2%,"I",IF((AH65)&lt;5%,"II","III"))</f>
        <v>II</v>
      </c>
      <c r="AN65" s="20"/>
      <c r="AO65" s="18">
        <f t="shared" si="29"/>
        <v>0.76498443848580411</v>
      </c>
      <c r="AP65" s="10" t="str">
        <f t="shared" si="30"/>
        <v>Daño del 15-25%</v>
      </c>
      <c r="AQ65" s="19" t="str">
        <f t="shared" ref="AQ65:AQ96" ca="1" si="40">Path&amp;"images\sec_max_pen_T"&amp;$K65&amp;".png"</f>
        <v>D:\1. Pozos\11. Noviembre\4. DT-96\images\sec_max_pen_T64.png</v>
      </c>
      <c r="AR65" s="19" t="str">
        <f t="shared" ref="AR65:AR96" ca="1" si="41">Path&amp;"images\sec_max_res_T"&amp;$K65&amp;".png"</f>
        <v>D:\1. Pozos\11. Noviembre\4. DT-96\images\sec_max_res_T64.png</v>
      </c>
      <c r="AS65" s="10" t="str">
        <f t="shared" ref="AS65:AS96" ca="1" si="42">Path&amp;"images\"&amp;$K65&amp;".emf"</f>
        <v>D:\1. Pozos\11. Noviembre\4. DT-96\images\64.emf</v>
      </c>
      <c r="AT65" s="19" t="str">
        <f t="shared" ref="AT65:AT96" ca="1" si="43">Path&amp;"images\GraficaIntegradaT"&amp;$K65&amp;".png"</f>
        <v>D:\1. Pozos\11. Noviembre\4. DT-96\images\GraficaIntegradaT64.png</v>
      </c>
    </row>
    <row r="66" spans="1:46" x14ac:dyDescent="0.25">
      <c r="A66" s="10" t="str">
        <f t="shared" si="31"/>
        <v>Well-1</v>
      </c>
      <c r="B66" s="10" t="str">
        <f t="shared" si="32"/>
        <v>Exploratorio</v>
      </c>
      <c r="C66" s="10" t="str">
        <f t="shared" si="33"/>
        <v>Colombia</v>
      </c>
      <c r="D66" s="10" t="str">
        <f t="shared" si="34"/>
        <v>State</v>
      </c>
      <c r="E66" s="10" t="str">
        <f t="shared" si="35"/>
        <v>Ecopetrol</v>
      </c>
      <c r="F66" s="10" t="s">
        <v>246</v>
      </c>
      <c r="G66" s="16" t="str">
        <f t="shared" si="36"/>
        <v>24/5/2022</v>
      </c>
      <c r="H66" s="10">
        <v>7</v>
      </c>
      <c r="I66" s="10">
        <v>6.3659999999999997</v>
      </c>
      <c r="J66" s="10">
        <f t="shared" ref="J66:J106" si="44">(H66-I66)/2</f>
        <v>0.31700000000000017</v>
      </c>
      <c r="K66" s="10">
        <v>65</v>
      </c>
      <c r="L66" s="21">
        <v>2567.48</v>
      </c>
      <c r="M66" s="21">
        <v>2604.98</v>
      </c>
      <c r="N66" s="13">
        <v>37.5</v>
      </c>
      <c r="O66" s="10">
        <v>6.3070001600000003</v>
      </c>
      <c r="P66" s="11">
        <v>2587.3000499999998</v>
      </c>
      <c r="Q66" s="12">
        <v>0.35599994699999998</v>
      </c>
      <c r="R66" s="12">
        <v>12.548784299999999</v>
      </c>
      <c r="S66" s="12">
        <v>2567.6001000000001</v>
      </c>
      <c r="T66" s="12">
        <v>0.29626298000000001</v>
      </c>
      <c r="U66" s="10">
        <v>6.7880001099999996</v>
      </c>
      <c r="V66" s="13">
        <v>2600.8998999999999</v>
      </c>
      <c r="W66" s="12">
        <v>0.105999947</v>
      </c>
      <c r="X66" s="12">
        <v>66.561523399999999</v>
      </c>
      <c r="Y66" s="17" t="str">
        <f t="shared" ref="Y66:Y97" si="45">IF((1-AO66)&lt;20%,"I",IF((1-AO66)&lt;40%,"II",IF((1-AO66)&lt;60%,"III",IF((1-AO66)&lt;80%,"IV","V"))))</f>
        <v>IV</v>
      </c>
      <c r="Z66" s="17">
        <f t="shared" ref="Z66:Z106" si="46">+((J66-W66)/J66)*100</f>
        <v>66.56153091482652</v>
      </c>
      <c r="AA66" s="17">
        <f t="shared" ref="AA66:AA106" si="47">+((U66/O66)-1)*100</f>
        <v>7.6264458188946671</v>
      </c>
      <c r="AB66" s="17">
        <f t="shared" ref="AB66:AB106" si="48">+(((U66-(T66-W66))/O66)-1)*100</f>
        <v>4.6097496372982327</v>
      </c>
      <c r="AC66" s="17">
        <f t="shared" ref="AC66:AC106" si="49">+(100-Z66)/100</f>
        <v>0.33438469085173478</v>
      </c>
      <c r="AD66" s="17">
        <f t="shared" ref="AD66:AD106" si="50">IF(AB66&gt;=0.5,(1-(0.05*(AB66-0.5))),1)</f>
        <v>0.79451251813508839</v>
      </c>
      <c r="AE66" s="17">
        <f t="shared" ref="AE66:AE106" si="51">ROUND(AC66*AD66,2)</f>
        <v>0.27</v>
      </c>
      <c r="AF66" s="17">
        <v>6340</v>
      </c>
      <c r="AG66" s="17">
        <v>3830</v>
      </c>
      <c r="AH66" s="17">
        <f t="shared" si="37"/>
        <v>2.6996962999999999E-2</v>
      </c>
      <c r="AI66" s="17">
        <f t="shared" ref="AI66:AI106" si="52">+AC66*AF66</f>
        <v>2119.9989399999986</v>
      </c>
      <c r="AJ66" s="17">
        <f t="shared" si="38"/>
        <v>1034.1000000000001</v>
      </c>
      <c r="AK66" s="17">
        <v>2.6996962999999998</v>
      </c>
      <c r="AL66" s="17">
        <v>2587.5</v>
      </c>
      <c r="AM66" s="20" t="str">
        <f t="shared" si="39"/>
        <v>II</v>
      </c>
      <c r="AN66" s="20" t="s">
        <v>423</v>
      </c>
      <c r="AO66" s="18">
        <f t="shared" ref="AO66:AO97" si="53">((100*W66)/J66)%</f>
        <v>0.33438469085173478</v>
      </c>
      <c r="AP66" s="10" t="str">
        <f t="shared" ref="AP66:AP97" si="54">IF(Y66="I","Daño del 0-15%",IF(Y66="II","Daño del 15-25%",IF(Y66="III","Daño del 25-50%","Daño del 50-100%")))</f>
        <v>Daño del 50-100%</v>
      </c>
      <c r="AQ66" s="19" t="str">
        <f t="shared" ca="1" si="40"/>
        <v>D:\1. Pozos\11. Noviembre\4. DT-96\images\sec_max_pen_T65.png</v>
      </c>
      <c r="AR66" s="19" t="str">
        <f t="shared" ca="1" si="41"/>
        <v>D:\1. Pozos\11. Noviembre\4. DT-96\images\sec_max_res_T65.png</v>
      </c>
      <c r="AS66" s="10" t="str">
        <f t="shared" ca="1" si="42"/>
        <v>D:\1. Pozos\11. Noviembre\4. DT-96\images\65.emf</v>
      </c>
      <c r="AT66" s="19" t="str">
        <f t="shared" ca="1" si="43"/>
        <v>D:\1. Pozos\11. Noviembre\4. DT-96\images\GraficaIntegradaT65.png</v>
      </c>
    </row>
    <row r="67" spans="1:46" x14ac:dyDescent="0.25">
      <c r="A67" s="10" t="str">
        <f t="shared" si="31"/>
        <v>Well-1</v>
      </c>
      <c r="B67" s="10" t="str">
        <f t="shared" si="32"/>
        <v>Exploratorio</v>
      </c>
      <c r="C67" s="10" t="str">
        <f t="shared" si="33"/>
        <v>Colombia</v>
      </c>
      <c r="D67" s="10" t="str">
        <f t="shared" si="34"/>
        <v>State</v>
      </c>
      <c r="E67" s="10" t="str">
        <f t="shared" si="35"/>
        <v>Ecopetrol</v>
      </c>
      <c r="F67" s="10" t="s">
        <v>246</v>
      </c>
      <c r="G67" s="16" t="str">
        <f t="shared" si="36"/>
        <v>24/5/2022</v>
      </c>
      <c r="H67" s="10">
        <v>7</v>
      </c>
      <c r="I67" s="10">
        <v>6.3659999999999997</v>
      </c>
      <c r="J67" s="10">
        <f t="shared" si="44"/>
        <v>0.31700000000000017</v>
      </c>
      <c r="K67" s="10">
        <v>66</v>
      </c>
      <c r="L67" s="21">
        <v>2606.48</v>
      </c>
      <c r="M67" s="21">
        <v>2648.0349999999999</v>
      </c>
      <c r="N67" s="13">
        <v>41.555</v>
      </c>
      <c r="O67" s="10">
        <v>6.3165001900000002</v>
      </c>
      <c r="P67" s="11">
        <v>2614.8000499999998</v>
      </c>
      <c r="Q67" s="12">
        <v>0.34899997700000002</v>
      </c>
      <c r="R67" s="12">
        <v>12.157075900000001</v>
      </c>
      <c r="S67" s="12">
        <v>2648</v>
      </c>
      <c r="T67" s="12">
        <v>0.30063962900000002</v>
      </c>
      <c r="U67" s="10">
        <v>6.7529997799999997</v>
      </c>
      <c r="V67" s="13">
        <v>2606.8998999999999</v>
      </c>
      <c r="W67" s="12">
        <v>0.123500109</v>
      </c>
      <c r="X67" s="12">
        <v>61.040962200000003</v>
      </c>
      <c r="Y67" s="17" t="str">
        <f t="shared" si="45"/>
        <v>IV</v>
      </c>
      <c r="Z67" s="17">
        <f t="shared" si="46"/>
        <v>61.040975078864378</v>
      </c>
      <c r="AA67" s="17">
        <f t="shared" si="47"/>
        <v>6.9104658730327673</v>
      </c>
      <c r="AB67" s="17">
        <f t="shared" si="48"/>
        <v>4.1060723849990044</v>
      </c>
      <c r="AC67" s="17">
        <f t="shared" si="49"/>
        <v>0.38959024921135621</v>
      </c>
      <c r="AD67" s="17">
        <f t="shared" si="50"/>
        <v>0.8196963807500498</v>
      </c>
      <c r="AE67" s="17">
        <f t="shared" si="51"/>
        <v>0.32</v>
      </c>
      <c r="AF67" s="17">
        <v>6340</v>
      </c>
      <c r="AG67" s="17">
        <v>3830</v>
      </c>
      <c r="AH67" s="17">
        <f t="shared" si="37"/>
        <v>2.5258505300000001E-2</v>
      </c>
      <c r="AI67" s="17">
        <f t="shared" si="52"/>
        <v>2470.0021799999986</v>
      </c>
      <c r="AJ67" s="17">
        <f t="shared" si="38"/>
        <v>1225.6000000000001</v>
      </c>
      <c r="AK67" s="17">
        <v>2.52585053</v>
      </c>
      <c r="AL67" s="17">
        <v>2614.8998999999999</v>
      </c>
      <c r="AM67" s="20" t="str">
        <f t="shared" si="39"/>
        <v>II</v>
      </c>
      <c r="AN67" s="20" t="s">
        <v>423</v>
      </c>
      <c r="AO67" s="18">
        <f t="shared" si="53"/>
        <v>0.38959024921135621</v>
      </c>
      <c r="AP67" s="10" t="str">
        <f t="shared" si="54"/>
        <v>Daño del 50-100%</v>
      </c>
      <c r="AQ67" s="19" t="str">
        <f t="shared" ca="1" si="40"/>
        <v>D:\1. Pozos\11. Noviembre\4. DT-96\images\sec_max_pen_T66.png</v>
      </c>
      <c r="AR67" s="19" t="str">
        <f t="shared" ca="1" si="41"/>
        <v>D:\1. Pozos\11. Noviembre\4. DT-96\images\sec_max_res_T66.png</v>
      </c>
      <c r="AS67" s="10" t="str">
        <f t="shared" ca="1" si="42"/>
        <v>D:\1. Pozos\11. Noviembre\4. DT-96\images\66.emf</v>
      </c>
      <c r="AT67" s="19" t="str">
        <f t="shared" ca="1" si="43"/>
        <v>D:\1. Pozos\11. Noviembre\4. DT-96\images\GraficaIntegradaT66.png</v>
      </c>
    </row>
    <row r="68" spans="1:46" x14ac:dyDescent="0.25">
      <c r="A68" s="10" t="str">
        <f t="shared" si="31"/>
        <v>Well-1</v>
      </c>
      <c r="B68" s="10" t="str">
        <f t="shared" si="32"/>
        <v>Exploratorio</v>
      </c>
      <c r="C68" s="10" t="str">
        <f t="shared" si="33"/>
        <v>Colombia</v>
      </c>
      <c r="D68" s="10" t="str">
        <f t="shared" si="34"/>
        <v>State</v>
      </c>
      <c r="E68" s="10" t="str">
        <f t="shared" si="35"/>
        <v>Ecopetrol</v>
      </c>
      <c r="F68" s="10" t="s">
        <v>246</v>
      </c>
      <c r="G68" s="16" t="str">
        <f t="shared" si="36"/>
        <v>24/5/2022</v>
      </c>
      <c r="H68" s="10">
        <v>7</v>
      </c>
      <c r="I68" s="10">
        <v>6.3659999999999997</v>
      </c>
      <c r="J68" s="10">
        <f t="shared" si="44"/>
        <v>0.31700000000000017</v>
      </c>
      <c r="K68" s="10">
        <v>67</v>
      </c>
      <c r="L68" s="21">
        <v>2649.5349999999999</v>
      </c>
      <c r="M68" s="21">
        <v>2688.58</v>
      </c>
      <c r="N68" s="13">
        <v>39.045000000000002</v>
      </c>
      <c r="O68" s="10">
        <v>6.3125004799999997</v>
      </c>
      <c r="P68" s="11">
        <v>2663.3998999999999</v>
      </c>
      <c r="Q68" s="12">
        <v>0.35100007100000002</v>
      </c>
      <c r="R68" s="12">
        <v>6.6127500499999998</v>
      </c>
      <c r="S68" s="12">
        <v>2650.5</v>
      </c>
      <c r="T68" s="12">
        <v>0.30151653299999998</v>
      </c>
      <c r="U68" s="10">
        <v>6.5130000099999998</v>
      </c>
      <c r="V68" s="13">
        <v>2650.6001000000001</v>
      </c>
      <c r="W68" s="12">
        <v>0.243499994</v>
      </c>
      <c r="X68" s="12">
        <v>23.1861</v>
      </c>
      <c r="Y68" s="17" t="str">
        <f t="shared" si="45"/>
        <v>II</v>
      </c>
      <c r="Z68" s="17">
        <f t="shared" si="46"/>
        <v>23.186121766561556</v>
      </c>
      <c r="AA68" s="17">
        <f t="shared" si="47"/>
        <v>3.1762299366985491</v>
      </c>
      <c r="AB68" s="17">
        <f t="shared" si="48"/>
        <v>2.2571561214360658</v>
      </c>
      <c r="AC68" s="17">
        <f t="shared" si="49"/>
        <v>0.76813878233438448</v>
      </c>
      <c r="AD68" s="17">
        <f t="shared" si="50"/>
        <v>0.91214219392819673</v>
      </c>
      <c r="AE68" s="17">
        <f t="shared" si="51"/>
        <v>0.7</v>
      </c>
      <c r="AF68" s="17">
        <v>6340</v>
      </c>
      <c r="AG68" s="17">
        <v>3830</v>
      </c>
      <c r="AH68" s="17">
        <f t="shared" si="37"/>
        <v>2.7235021599999999E-2</v>
      </c>
      <c r="AI68" s="17">
        <f t="shared" si="52"/>
        <v>4869.9998799999976</v>
      </c>
      <c r="AJ68" s="17">
        <f t="shared" si="38"/>
        <v>2681</v>
      </c>
      <c r="AK68" s="17">
        <v>2.7235021599999998</v>
      </c>
      <c r="AL68" s="17">
        <v>2663.3998999999999</v>
      </c>
      <c r="AM68" s="20" t="str">
        <f t="shared" si="39"/>
        <v>II</v>
      </c>
      <c r="AN68" s="20"/>
      <c r="AO68" s="18">
        <f t="shared" si="53"/>
        <v>0.76813878233438448</v>
      </c>
      <c r="AP68" s="10" t="str">
        <f t="shared" si="54"/>
        <v>Daño del 15-25%</v>
      </c>
      <c r="AQ68" s="19" t="str">
        <f t="shared" ca="1" si="40"/>
        <v>D:\1. Pozos\11. Noviembre\4. DT-96\images\sec_max_pen_T67.png</v>
      </c>
      <c r="AR68" s="19" t="str">
        <f t="shared" ca="1" si="41"/>
        <v>D:\1. Pozos\11. Noviembre\4. DT-96\images\sec_max_res_T67.png</v>
      </c>
      <c r="AS68" s="10" t="str">
        <f t="shared" ca="1" si="42"/>
        <v>D:\1. Pozos\11. Noviembre\4. DT-96\images\67.emf</v>
      </c>
      <c r="AT68" s="19" t="str">
        <f t="shared" ca="1" si="43"/>
        <v>D:\1. Pozos\11. Noviembre\4. DT-96\images\GraficaIntegradaT67.png</v>
      </c>
    </row>
    <row r="69" spans="1:46" x14ac:dyDescent="0.25">
      <c r="A69" s="10" t="str">
        <f t="shared" si="31"/>
        <v>Well-1</v>
      </c>
      <c r="B69" s="10" t="str">
        <f t="shared" si="32"/>
        <v>Exploratorio</v>
      </c>
      <c r="C69" s="10" t="str">
        <f t="shared" si="33"/>
        <v>Colombia</v>
      </c>
      <c r="D69" s="10" t="str">
        <f t="shared" si="34"/>
        <v>State</v>
      </c>
      <c r="E69" s="10" t="str">
        <f t="shared" si="35"/>
        <v>Ecopetrol</v>
      </c>
      <c r="F69" s="10" t="s">
        <v>246</v>
      </c>
      <c r="G69" s="16" t="str">
        <f t="shared" si="36"/>
        <v>24/5/2022</v>
      </c>
      <c r="H69" s="10">
        <v>7</v>
      </c>
      <c r="I69" s="10">
        <v>6.3659999999999997</v>
      </c>
      <c r="J69" s="10">
        <f t="shared" si="44"/>
        <v>0.31700000000000017</v>
      </c>
      <c r="K69" s="10">
        <v>68</v>
      </c>
      <c r="L69" s="21">
        <v>2690.08</v>
      </c>
      <c r="M69" s="21">
        <v>2729.8969999999999</v>
      </c>
      <c r="N69" s="13">
        <v>39.817</v>
      </c>
      <c r="O69" s="10">
        <v>6.2855005300000002</v>
      </c>
      <c r="P69" s="11">
        <v>2696.1999500000002</v>
      </c>
      <c r="Q69" s="12">
        <v>0.36949992199999998</v>
      </c>
      <c r="R69" s="12">
        <v>9.5077161799999992</v>
      </c>
      <c r="S69" s="12">
        <v>2703.6001000000001</v>
      </c>
      <c r="T69" s="12">
        <v>0.29814767800000003</v>
      </c>
      <c r="U69" s="10">
        <v>6.9039998100000002</v>
      </c>
      <c r="V69" s="13">
        <v>2703.6001000000001</v>
      </c>
      <c r="W69" s="12">
        <v>4.8000097300000003E-2</v>
      </c>
      <c r="X69" s="12">
        <v>84.858009300000006</v>
      </c>
      <c r="Y69" s="17" t="str">
        <f t="shared" si="45"/>
        <v>V</v>
      </c>
      <c r="Z69" s="17">
        <f t="shared" si="46"/>
        <v>84.858013470031551</v>
      </c>
      <c r="AA69" s="17">
        <f t="shared" si="47"/>
        <v>9.8400959008430711</v>
      </c>
      <c r="AB69" s="17">
        <f t="shared" si="48"/>
        <v>5.8603399608654572</v>
      </c>
      <c r="AC69" s="17">
        <f t="shared" si="49"/>
        <v>0.15141986529968449</v>
      </c>
      <c r="AD69" s="17">
        <f t="shared" si="50"/>
        <v>0.73198300195672705</v>
      </c>
      <c r="AE69" s="17">
        <f t="shared" si="51"/>
        <v>0.11</v>
      </c>
      <c r="AF69" s="17">
        <v>6340</v>
      </c>
      <c r="AG69" s="17">
        <v>3830</v>
      </c>
      <c r="AH69" s="17">
        <f t="shared" si="37"/>
        <v>3.4304704700000001E-2</v>
      </c>
      <c r="AI69" s="17">
        <f t="shared" si="52"/>
        <v>960.00194599999963</v>
      </c>
      <c r="AJ69" s="17">
        <f t="shared" si="38"/>
        <v>421.3</v>
      </c>
      <c r="AK69" s="17">
        <v>3.4304704699999999</v>
      </c>
      <c r="AL69" s="17">
        <v>2696</v>
      </c>
      <c r="AM69" s="20" t="str">
        <f t="shared" si="39"/>
        <v>II</v>
      </c>
      <c r="AN69" s="20" t="s">
        <v>423</v>
      </c>
      <c r="AO69" s="18">
        <f t="shared" si="53"/>
        <v>0.15141986529968446</v>
      </c>
      <c r="AP69" s="10" t="str">
        <f t="shared" si="54"/>
        <v>Daño del 50-100%</v>
      </c>
      <c r="AQ69" s="19" t="str">
        <f t="shared" ca="1" si="40"/>
        <v>D:\1. Pozos\11. Noviembre\4. DT-96\images\sec_max_pen_T68.png</v>
      </c>
      <c r="AR69" s="19" t="str">
        <f t="shared" ca="1" si="41"/>
        <v>D:\1. Pozos\11. Noviembre\4. DT-96\images\sec_max_res_T68.png</v>
      </c>
      <c r="AS69" s="10" t="str">
        <f t="shared" ca="1" si="42"/>
        <v>D:\1. Pozos\11. Noviembre\4. DT-96\images\68.emf</v>
      </c>
      <c r="AT69" s="19" t="str">
        <f t="shared" ca="1" si="43"/>
        <v>D:\1. Pozos\11. Noviembre\4. DT-96\images\GraficaIntegradaT68.png</v>
      </c>
    </row>
    <row r="70" spans="1:46" x14ac:dyDescent="0.25">
      <c r="A70" s="10" t="str">
        <f t="shared" si="31"/>
        <v>Well-1</v>
      </c>
      <c r="B70" s="10" t="str">
        <f t="shared" si="32"/>
        <v>Exploratorio</v>
      </c>
      <c r="C70" s="10" t="str">
        <f t="shared" si="33"/>
        <v>Colombia</v>
      </c>
      <c r="D70" s="10" t="str">
        <f t="shared" si="34"/>
        <v>State</v>
      </c>
      <c r="E70" s="10" t="str">
        <f t="shared" si="35"/>
        <v>Ecopetrol</v>
      </c>
      <c r="F70" s="10" t="s">
        <v>246</v>
      </c>
      <c r="G70" s="16" t="str">
        <f t="shared" si="36"/>
        <v>24/5/2022</v>
      </c>
      <c r="H70" s="10">
        <v>7</v>
      </c>
      <c r="I70" s="10">
        <v>6.3659999999999997</v>
      </c>
      <c r="J70" s="10">
        <f t="shared" si="44"/>
        <v>0.31700000000000017</v>
      </c>
      <c r="K70" s="10">
        <v>69</v>
      </c>
      <c r="L70" s="21">
        <v>2731.3969999999999</v>
      </c>
      <c r="M70" s="21">
        <v>2771.0210000000002</v>
      </c>
      <c r="N70" s="13">
        <v>39.624000000000002</v>
      </c>
      <c r="O70" s="10">
        <v>6.3220004999999997</v>
      </c>
      <c r="P70" s="11">
        <v>2745.6001000000001</v>
      </c>
      <c r="Q70" s="12">
        <v>0.34249997100000001</v>
      </c>
      <c r="R70" s="12">
        <v>6.7919478399999997</v>
      </c>
      <c r="S70" s="12">
        <v>2763.1001000000001</v>
      </c>
      <c r="T70" s="12">
        <v>0.29978776000000001</v>
      </c>
      <c r="U70" s="10">
        <v>6.5329999900000004</v>
      </c>
      <c r="V70" s="13">
        <v>2731.5</v>
      </c>
      <c r="W70" s="12">
        <v>0.23350000400000001</v>
      </c>
      <c r="X70" s="12">
        <v>26.340671499999999</v>
      </c>
      <c r="Y70" s="17" t="str">
        <f t="shared" si="45"/>
        <v>II</v>
      </c>
      <c r="Z70" s="17">
        <f t="shared" si="46"/>
        <v>26.340692744479533</v>
      </c>
      <c r="AA70" s="17">
        <f t="shared" si="47"/>
        <v>3.3375430767523806</v>
      </c>
      <c r="AB70" s="17">
        <f t="shared" si="48"/>
        <v>2.2890180726812703</v>
      </c>
      <c r="AC70" s="17">
        <f t="shared" si="49"/>
        <v>0.73659307255520479</v>
      </c>
      <c r="AD70" s="17">
        <f t="shared" si="50"/>
        <v>0.91054909636593651</v>
      </c>
      <c r="AE70" s="17">
        <f t="shared" si="51"/>
        <v>0.67</v>
      </c>
      <c r="AF70" s="17">
        <v>6340</v>
      </c>
      <c r="AG70" s="17">
        <v>3830</v>
      </c>
      <c r="AH70" s="17">
        <f t="shared" si="37"/>
        <v>2.1315872699999999E-2</v>
      </c>
      <c r="AI70" s="17">
        <f t="shared" si="52"/>
        <v>4670.000079999998</v>
      </c>
      <c r="AJ70" s="17">
        <f t="shared" si="38"/>
        <v>2566.1000000000004</v>
      </c>
      <c r="AK70" s="17">
        <v>2.1315872699999998</v>
      </c>
      <c r="AL70" s="17">
        <v>2770.6999500000002</v>
      </c>
      <c r="AM70" s="20" t="str">
        <f t="shared" si="39"/>
        <v>II</v>
      </c>
      <c r="AN70" s="20"/>
      <c r="AO70" s="18">
        <f t="shared" si="53"/>
        <v>0.73659307255520479</v>
      </c>
      <c r="AP70" s="10" t="str">
        <f t="shared" si="54"/>
        <v>Daño del 15-25%</v>
      </c>
      <c r="AQ70" s="19" t="str">
        <f t="shared" ca="1" si="40"/>
        <v>D:\1. Pozos\11. Noviembre\4. DT-96\images\sec_max_pen_T69.png</v>
      </c>
      <c r="AR70" s="19" t="str">
        <f t="shared" ca="1" si="41"/>
        <v>D:\1. Pozos\11. Noviembre\4. DT-96\images\sec_max_res_T69.png</v>
      </c>
      <c r="AS70" s="10" t="str">
        <f t="shared" ca="1" si="42"/>
        <v>D:\1. Pozos\11. Noviembre\4. DT-96\images\69.emf</v>
      </c>
      <c r="AT70" s="19" t="str">
        <f t="shared" ca="1" si="43"/>
        <v>D:\1. Pozos\11. Noviembre\4. DT-96\images\GraficaIntegradaT69.png</v>
      </c>
    </row>
    <row r="71" spans="1:46" x14ac:dyDescent="0.25">
      <c r="A71" s="10" t="str">
        <f t="shared" si="31"/>
        <v>Well-1</v>
      </c>
      <c r="B71" s="10" t="str">
        <f t="shared" si="32"/>
        <v>Exploratorio</v>
      </c>
      <c r="C71" s="10" t="str">
        <f t="shared" si="33"/>
        <v>Colombia</v>
      </c>
      <c r="D71" s="10" t="str">
        <f t="shared" si="34"/>
        <v>State</v>
      </c>
      <c r="E71" s="10" t="str">
        <f t="shared" si="35"/>
        <v>Ecopetrol</v>
      </c>
      <c r="F71" s="10" t="s">
        <v>246</v>
      </c>
      <c r="G71" s="16" t="str">
        <f t="shared" si="36"/>
        <v>24/5/2022</v>
      </c>
      <c r="H71" s="10">
        <v>7</v>
      </c>
      <c r="I71" s="10">
        <v>6.3659999999999997</v>
      </c>
      <c r="J71" s="10">
        <f t="shared" si="44"/>
        <v>0.31700000000000017</v>
      </c>
      <c r="K71" s="10">
        <v>70</v>
      </c>
      <c r="L71" s="21">
        <v>2772.5210000000002</v>
      </c>
      <c r="M71" s="21">
        <v>2811.9520000000002</v>
      </c>
      <c r="N71" s="13">
        <v>39.430999999999997</v>
      </c>
      <c r="O71" s="10">
        <v>6.2710003900000002</v>
      </c>
      <c r="P71" s="11">
        <v>2799.8998999999999</v>
      </c>
      <c r="Q71" s="12">
        <v>0.36750006699999999</v>
      </c>
      <c r="R71" s="12">
        <v>8.4947013899999995</v>
      </c>
      <c r="S71" s="12">
        <v>2799.8000499999998</v>
      </c>
      <c r="T71" s="12">
        <v>0.30191779099999999</v>
      </c>
      <c r="U71" s="10">
        <v>6.7800002099999999</v>
      </c>
      <c r="V71" s="13">
        <v>2807.5</v>
      </c>
      <c r="W71" s="12">
        <v>0.109999895</v>
      </c>
      <c r="X71" s="12">
        <v>65.299705500000002</v>
      </c>
      <c r="Y71" s="17" t="str">
        <f t="shared" si="45"/>
        <v>IV</v>
      </c>
      <c r="Z71" s="17">
        <f t="shared" si="46"/>
        <v>65.299717665615148</v>
      </c>
      <c r="AA71" s="17">
        <f t="shared" si="47"/>
        <v>8.1167244194669799</v>
      </c>
      <c r="AB71" s="17">
        <f t="shared" si="48"/>
        <v>5.0563212291556026</v>
      </c>
      <c r="AC71" s="17">
        <f t="shared" si="49"/>
        <v>0.34700282334384852</v>
      </c>
      <c r="AD71" s="17">
        <f t="shared" si="50"/>
        <v>0.77218393854221989</v>
      </c>
      <c r="AE71" s="17">
        <f t="shared" si="51"/>
        <v>0.27</v>
      </c>
      <c r="AF71" s="17">
        <v>6340</v>
      </c>
      <c r="AG71" s="17">
        <v>3830</v>
      </c>
      <c r="AH71" s="17">
        <f t="shared" si="37"/>
        <v>3.9971387400000002E-2</v>
      </c>
      <c r="AI71" s="17">
        <f t="shared" si="52"/>
        <v>2199.9978999999998</v>
      </c>
      <c r="AJ71" s="17">
        <f t="shared" si="38"/>
        <v>1034.1000000000001</v>
      </c>
      <c r="AK71" s="17">
        <v>3.99713874</v>
      </c>
      <c r="AL71" s="17">
        <v>2799.8000499999998</v>
      </c>
      <c r="AM71" s="20" t="str">
        <f t="shared" si="39"/>
        <v>II</v>
      </c>
      <c r="AN71" s="20" t="s">
        <v>423</v>
      </c>
      <c r="AO71" s="18">
        <f t="shared" si="53"/>
        <v>0.34700282334384835</v>
      </c>
      <c r="AP71" s="10" t="str">
        <f t="shared" si="54"/>
        <v>Daño del 50-100%</v>
      </c>
      <c r="AQ71" s="19" t="str">
        <f t="shared" ca="1" si="40"/>
        <v>D:\1. Pozos\11. Noviembre\4. DT-96\images\sec_max_pen_T70.png</v>
      </c>
      <c r="AR71" s="19" t="str">
        <f t="shared" ca="1" si="41"/>
        <v>D:\1. Pozos\11. Noviembre\4. DT-96\images\sec_max_res_T70.png</v>
      </c>
      <c r="AS71" s="10" t="str">
        <f t="shared" ca="1" si="42"/>
        <v>D:\1. Pozos\11. Noviembre\4. DT-96\images\70.emf</v>
      </c>
      <c r="AT71" s="19" t="str">
        <f t="shared" ca="1" si="43"/>
        <v>D:\1. Pozos\11. Noviembre\4. DT-96\images\GraficaIntegradaT70.png</v>
      </c>
    </row>
    <row r="72" spans="1:46" x14ac:dyDescent="0.25">
      <c r="A72" s="10" t="str">
        <f t="shared" si="31"/>
        <v>Well-1</v>
      </c>
      <c r="B72" s="10" t="str">
        <f t="shared" si="32"/>
        <v>Exploratorio</v>
      </c>
      <c r="C72" s="10" t="str">
        <f t="shared" si="33"/>
        <v>Colombia</v>
      </c>
      <c r="D72" s="10" t="str">
        <f t="shared" si="34"/>
        <v>State</v>
      </c>
      <c r="E72" s="10" t="str">
        <f t="shared" si="35"/>
        <v>Ecopetrol</v>
      </c>
      <c r="F72" s="10" t="s">
        <v>246</v>
      </c>
      <c r="G72" s="16" t="str">
        <f t="shared" si="36"/>
        <v>24/5/2022</v>
      </c>
      <c r="H72" s="10">
        <v>7</v>
      </c>
      <c r="I72" s="10">
        <v>6.3659999999999997</v>
      </c>
      <c r="J72" s="10">
        <f t="shared" si="44"/>
        <v>0.31700000000000017</v>
      </c>
      <c r="K72" s="10">
        <v>71</v>
      </c>
      <c r="L72" s="21">
        <v>2813.4520000000002</v>
      </c>
      <c r="M72" s="21">
        <v>2851.7249999999999</v>
      </c>
      <c r="N72" s="13">
        <v>38.273000000000003</v>
      </c>
      <c r="O72" s="10">
        <v>6.2910003699999999</v>
      </c>
      <c r="P72" s="11">
        <v>2825.6001000000001</v>
      </c>
      <c r="Q72" s="12">
        <v>0.35999989500000001</v>
      </c>
      <c r="R72" s="12">
        <v>8.5404520000000002</v>
      </c>
      <c r="S72" s="12">
        <v>2819.8000499999998</v>
      </c>
      <c r="T72" s="12">
        <v>0.30129957200000002</v>
      </c>
      <c r="U72" s="10">
        <v>6.7849998500000002</v>
      </c>
      <c r="V72" s="13">
        <v>2819.8000499999998</v>
      </c>
      <c r="W72" s="12">
        <v>0.107500076</v>
      </c>
      <c r="X72" s="12">
        <v>66.088295000000002</v>
      </c>
      <c r="Y72" s="17" t="str">
        <f t="shared" si="45"/>
        <v>IV</v>
      </c>
      <c r="Z72" s="17">
        <f t="shared" si="46"/>
        <v>66.088304100946388</v>
      </c>
      <c r="AA72" s="17">
        <f t="shared" si="47"/>
        <v>7.8524789532002481</v>
      </c>
      <c r="AB72" s="17">
        <f t="shared" si="48"/>
        <v>4.7718958248924803</v>
      </c>
      <c r="AC72" s="17">
        <f t="shared" si="49"/>
        <v>0.33911695899053612</v>
      </c>
      <c r="AD72" s="17">
        <f t="shared" si="50"/>
        <v>0.78640520875537601</v>
      </c>
      <c r="AE72" s="17">
        <f t="shared" si="51"/>
        <v>0.27</v>
      </c>
      <c r="AF72" s="17">
        <v>6340</v>
      </c>
      <c r="AG72" s="17">
        <v>3830</v>
      </c>
      <c r="AH72" s="17">
        <f t="shared" si="37"/>
        <v>3.2273709800000001E-2</v>
      </c>
      <c r="AI72" s="17">
        <f t="shared" si="52"/>
        <v>2150.0015199999989</v>
      </c>
      <c r="AJ72" s="17">
        <f t="shared" si="38"/>
        <v>1034.1000000000001</v>
      </c>
      <c r="AK72" s="17">
        <v>3.2273709799999999</v>
      </c>
      <c r="AL72" s="17">
        <v>2825.3000499999998</v>
      </c>
      <c r="AM72" s="20" t="str">
        <f t="shared" si="39"/>
        <v>II</v>
      </c>
      <c r="AN72" s="20" t="s">
        <v>423</v>
      </c>
      <c r="AO72" s="18">
        <f t="shared" si="53"/>
        <v>0.33911695899053612</v>
      </c>
      <c r="AP72" s="10" t="str">
        <f t="shared" si="54"/>
        <v>Daño del 50-100%</v>
      </c>
      <c r="AQ72" s="19" t="str">
        <f t="shared" ca="1" si="40"/>
        <v>D:\1. Pozos\11. Noviembre\4. DT-96\images\sec_max_pen_T71.png</v>
      </c>
      <c r="AR72" s="19" t="str">
        <f t="shared" ca="1" si="41"/>
        <v>D:\1. Pozos\11. Noviembre\4. DT-96\images\sec_max_res_T71.png</v>
      </c>
      <c r="AS72" s="10" t="str">
        <f t="shared" ca="1" si="42"/>
        <v>D:\1. Pozos\11. Noviembre\4. DT-96\images\71.emf</v>
      </c>
      <c r="AT72" s="19" t="str">
        <f t="shared" ca="1" si="43"/>
        <v>D:\1. Pozos\11. Noviembre\4. DT-96\images\GraficaIntegradaT71.png</v>
      </c>
    </row>
    <row r="73" spans="1:46" x14ac:dyDescent="0.25">
      <c r="A73" s="10" t="str">
        <f t="shared" si="31"/>
        <v>Well-1</v>
      </c>
      <c r="B73" s="10" t="str">
        <f t="shared" si="32"/>
        <v>Exploratorio</v>
      </c>
      <c r="C73" s="10" t="str">
        <f t="shared" si="33"/>
        <v>Colombia</v>
      </c>
      <c r="D73" s="10" t="str">
        <f t="shared" si="34"/>
        <v>State</v>
      </c>
      <c r="E73" s="10" t="str">
        <f t="shared" si="35"/>
        <v>Ecopetrol</v>
      </c>
      <c r="F73" s="10" t="s">
        <v>246</v>
      </c>
      <c r="G73" s="16" t="str">
        <f t="shared" si="36"/>
        <v>24/5/2022</v>
      </c>
      <c r="H73" s="10">
        <v>7</v>
      </c>
      <c r="I73" s="10">
        <v>6.3659999999999997</v>
      </c>
      <c r="J73" s="10">
        <f t="shared" si="44"/>
        <v>0.31700000000000017</v>
      </c>
      <c r="K73" s="10">
        <v>72</v>
      </c>
      <c r="L73" s="21">
        <v>2853.2249999999999</v>
      </c>
      <c r="M73" s="21">
        <v>2893.0419999999999</v>
      </c>
      <c r="N73" s="13">
        <v>39.817</v>
      </c>
      <c r="O73" s="10">
        <v>6.3225002300000002</v>
      </c>
      <c r="P73" s="11">
        <v>2892</v>
      </c>
      <c r="Q73" s="12">
        <v>0.34699988399999998</v>
      </c>
      <c r="R73" s="12">
        <v>5.9470477099999997</v>
      </c>
      <c r="S73" s="12">
        <v>2873.6001000000001</v>
      </c>
      <c r="T73" s="12">
        <v>0.30283522600000001</v>
      </c>
      <c r="U73" s="10">
        <v>6.5069999699999999</v>
      </c>
      <c r="V73" s="13">
        <v>2892.1999500000002</v>
      </c>
      <c r="W73" s="12">
        <v>0.24650001499999999</v>
      </c>
      <c r="X73" s="12">
        <v>22.239721299999999</v>
      </c>
      <c r="Y73" s="17" t="str">
        <f t="shared" si="45"/>
        <v>II</v>
      </c>
      <c r="Z73" s="17">
        <f t="shared" si="46"/>
        <v>22.239742902208249</v>
      </c>
      <c r="AA73" s="17">
        <f t="shared" si="47"/>
        <v>2.9181452477384795</v>
      </c>
      <c r="AB73" s="17">
        <f t="shared" si="48"/>
        <v>2.0271178226592079</v>
      </c>
      <c r="AC73" s="17">
        <f t="shared" si="49"/>
        <v>0.77760257097791752</v>
      </c>
      <c r="AD73" s="17">
        <f t="shared" si="50"/>
        <v>0.92364410886703963</v>
      </c>
      <c r="AE73" s="17">
        <f t="shared" si="51"/>
        <v>0.72</v>
      </c>
      <c r="AF73" s="17">
        <v>6340</v>
      </c>
      <c r="AG73" s="17">
        <v>3830</v>
      </c>
      <c r="AH73" s="17">
        <f t="shared" si="37"/>
        <v>2.295614E-2</v>
      </c>
      <c r="AI73" s="17">
        <f t="shared" si="52"/>
        <v>4930.000299999997</v>
      </c>
      <c r="AJ73" s="17">
        <f t="shared" si="38"/>
        <v>2757.6</v>
      </c>
      <c r="AK73" s="17">
        <v>2.295614</v>
      </c>
      <c r="AL73" s="17">
        <v>2871.1999500000002</v>
      </c>
      <c r="AM73" s="20" t="str">
        <f t="shared" si="39"/>
        <v>II</v>
      </c>
      <c r="AN73" s="20"/>
      <c r="AO73" s="18">
        <f t="shared" si="53"/>
        <v>0.77760257097791752</v>
      </c>
      <c r="AP73" s="10" t="str">
        <f t="shared" si="54"/>
        <v>Daño del 15-25%</v>
      </c>
      <c r="AQ73" s="19" t="str">
        <f t="shared" ca="1" si="40"/>
        <v>D:\1. Pozos\11. Noviembre\4. DT-96\images\sec_max_pen_T72.png</v>
      </c>
      <c r="AR73" s="19" t="str">
        <f t="shared" ca="1" si="41"/>
        <v>D:\1. Pozos\11. Noviembre\4. DT-96\images\sec_max_res_T72.png</v>
      </c>
      <c r="AS73" s="10" t="str">
        <f t="shared" ca="1" si="42"/>
        <v>D:\1. Pozos\11. Noviembre\4. DT-96\images\72.emf</v>
      </c>
      <c r="AT73" s="19" t="str">
        <f t="shared" ca="1" si="43"/>
        <v>D:\1. Pozos\11. Noviembre\4. DT-96\images\GraficaIntegradaT72.png</v>
      </c>
    </row>
    <row r="74" spans="1:46" x14ac:dyDescent="0.25">
      <c r="A74" s="10" t="str">
        <f t="shared" si="31"/>
        <v>Well-1</v>
      </c>
      <c r="B74" s="10" t="str">
        <f t="shared" si="32"/>
        <v>Exploratorio</v>
      </c>
      <c r="C74" s="10" t="str">
        <f t="shared" si="33"/>
        <v>Colombia</v>
      </c>
      <c r="D74" s="10" t="str">
        <f t="shared" si="34"/>
        <v>State</v>
      </c>
      <c r="E74" s="10" t="str">
        <f t="shared" si="35"/>
        <v>Ecopetrol</v>
      </c>
      <c r="F74" s="10" t="s">
        <v>246</v>
      </c>
      <c r="G74" s="16" t="str">
        <f t="shared" si="36"/>
        <v>24/5/2022</v>
      </c>
      <c r="H74" s="10">
        <v>7</v>
      </c>
      <c r="I74" s="10">
        <v>6.3659999999999997</v>
      </c>
      <c r="J74" s="10">
        <f t="shared" si="44"/>
        <v>0.31700000000000017</v>
      </c>
      <c r="K74" s="10">
        <v>73</v>
      </c>
      <c r="L74" s="21">
        <v>2894.5419999999999</v>
      </c>
      <c r="M74" s="21">
        <v>2934.7460000000001</v>
      </c>
      <c r="N74" s="13">
        <v>40.203000000000003</v>
      </c>
      <c r="O74" s="10">
        <v>6.3395004300000002</v>
      </c>
      <c r="P74" s="11">
        <v>2899.8998999999999</v>
      </c>
      <c r="Q74" s="12">
        <v>0.34050011600000002</v>
      </c>
      <c r="R74" s="12">
        <v>5.5352511399999997</v>
      </c>
      <c r="S74" s="12">
        <v>2932.6001000000001</v>
      </c>
      <c r="T74" s="12">
        <v>0.303007841</v>
      </c>
      <c r="U74" s="10">
        <v>6.4749999000000003</v>
      </c>
      <c r="V74" s="13">
        <v>2932.8998999999999</v>
      </c>
      <c r="W74" s="12">
        <v>0.26250004799999999</v>
      </c>
      <c r="X74" s="12">
        <v>17.192390400000001</v>
      </c>
      <c r="Y74" s="17" t="str">
        <f t="shared" si="45"/>
        <v>I</v>
      </c>
      <c r="Z74" s="17">
        <f t="shared" si="46"/>
        <v>17.192413880126232</v>
      </c>
      <c r="AA74" s="17">
        <f t="shared" si="47"/>
        <v>2.1373840335870087</v>
      </c>
      <c r="AB74" s="17">
        <f t="shared" si="48"/>
        <v>1.4984095048006907</v>
      </c>
      <c r="AC74" s="17">
        <f t="shared" si="49"/>
        <v>0.82807586119873777</v>
      </c>
      <c r="AD74" s="17">
        <f t="shared" si="50"/>
        <v>0.95007952475996549</v>
      </c>
      <c r="AE74" s="17">
        <f t="shared" si="51"/>
        <v>0.79</v>
      </c>
      <c r="AF74" s="17">
        <v>6340</v>
      </c>
      <c r="AG74" s="17">
        <v>3830</v>
      </c>
      <c r="AH74" s="17">
        <f t="shared" si="37"/>
        <v>1.6481823900000001E-2</v>
      </c>
      <c r="AI74" s="17">
        <f t="shared" si="52"/>
        <v>5250.0009599999976</v>
      </c>
      <c r="AJ74" s="17">
        <f t="shared" si="38"/>
        <v>3025.7000000000003</v>
      </c>
      <c r="AK74" s="17">
        <v>1.6481823900000001</v>
      </c>
      <c r="AL74" s="17">
        <v>2900</v>
      </c>
      <c r="AM74" s="20" t="str">
        <f t="shared" si="39"/>
        <v>I</v>
      </c>
      <c r="AN74" s="20"/>
      <c r="AO74" s="18">
        <f t="shared" si="53"/>
        <v>0.82807586119873777</v>
      </c>
      <c r="AP74" s="10" t="str">
        <f t="shared" si="54"/>
        <v>Daño del 0-15%</v>
      </c>
      <c r="AQ74" s="19" t="str">
        <f t="shared" ca="1" si="40"/>
        <v>D:\1. Pozos\11. Noviembre\4. DT-96\images\sec_max_pen_T73.png</v>
      </c>
      <c r="AR74" s="19" t="str">
        <f t="shared" ca="1" si="41"/>
        <v>D:\1. Pozos\11. Noviembre\4. DT-96\images\sec_max_res_T73.png</v>
      </c>
      <c r="AS74" s="10" t="str">
        <f t="shared" ca="1" si="42"/>
        <v>D:\1. Pozos\11. Noviembre\4. DT-96\images\73.emf</v>
      </c>
      <c r="AT74" s="19" t="str">
        <f t="shared" ca="1" si="43"/>
        <v>D:\1. Pozos\11. Noviembre\4. DT-96\images\GraficaIntegradaT73.png</v>
      </c>
    </row>
    <row r="75" spans="1:46" x14ac:dyDescent="0.25">
      <c r="A75" s="10" t="str">
        <f t="shared" si="31"/>
        <v>Well-1</v>
      </c>
      <c r="B75" s="10" t="str">
        <f t="shared" si="32"/>
        <v>Exploratorio</v>
      </c>
      <c r="C75" s="10" t="str">
        <f t="shared" si="33"/>
        <v>Colombia</v>
      </c>
      <c r="D75" s="10" t="str">
        <f t="shared" si="34"/>
        <v>State</v>
      </c>
      <c r="E75" s="10" t="str">
        <f t="shared" si="35"/>
        <v>Ecopetrol</v>
      </c>
      <c r="F75" s="10" t="s">
        <v>246</v>
      </c>
      <c r="G75" s="16" t="str">
        <f t="shared" si="36"/>
        <v>24/5/2022</v>
      </c>
      <c r="H75" s="10">
        <v>7</v>
      </c>
      <c r="I75" s="10">
        <v>6.3659999999999997</v>
      </c>
      <c r="J75" s="10">
        <f t="shared" si="44"/>
        <v>0.31700000000000017</v>
      </c>
      <c r="K75" s="10">
        <v>74</v>
      </c>
      <c r="L75" s="21">
        <v>2936.2460000000001</v>
      </c>
      <c r="M75" s="21">
        <v>2975.6770000000001</v>
      </c>
      <c r="N75" s="13">
        <v>39.430999999999997</v>
      </c>
      <c r="O75" s="10">
        <v>6.32350016</v>
      </c>
      <c r="P75" s="11">
        <v>2944.5</v>
      </c>
      <c r="Q75" s="12">
        <v>0.34800005000000001</v>
      </c>
      <c r="R75" s="12">
        <v>6.1704082500000004</v>
      </c>
      <c r="S75" s="12">
        <v>2944.6999500000002</v>
      </c>
      <c r="T75" s="12">
        <v>0.30123805999999997</v>
      </c>
      <c r="U75" s="10">
        <v>6.49399996</v>
      </c>
      <c r="V75" s="13">
        <v>2944.6001000000001</v>
      </c>
      <c r="W75" s="12">
        <v>0.25300002100000002</v>
      </c>
      <c r="X75" s="12">
        <v>20.189245199999998</v>
      </c>
      <c r="Y75" s="17" t="str">
        <f t="shared" si="45"/>
        <v>II</v>
      </c>
      <c r="Z75" s="17">
        <f t="shared" si="46"/>
        <v>20.189267823343883</v>
      </c>
      <c r="AA75" s="17">
        <f t="shared" si="47"/>
        <v>2.6962883796305626</v>
      </c>
      <c r="AB75" s="17">
        <f t="shared" si="48"/>
        <v>1.9334507457338335</v>
      </c>
      <c r="AC75" s="17">
        <f t="shared" si="49"/>
        <v>0.79810732176656118</v>
      </c>
      <c r="AD75" s="17">
        <f t="shared" si="50"/>
        <v>0.92832746271330835</v>
      </c>
      <c r="AE75" s="17">
        <f t="shared" si="51"/>
        <v>0.74</v>
      </c>
      <c r="AF75" s="17">
        <v>6340</v>
      </c>
      <c r="AG75" s="17">
        <v>3830</v>
      </c>
      <c r="AH75" s="17">
        <f t="shared" si="37"/>
        <v>2.2687945399999999E-2</v>
      </c>
      <c r="AI75" s="17">
        <f t="shared" si="52"/>
        <v>5060.0004199999976</v>
      </c>
      <c r="AJ75" s="17">
        <f t="shared" si="38"/>
        <v>2834.2</v>
      </c>
      <c r="AK75" s="17">
        <v>2.26879454</v>
      </c>
      <c r="AL75" s="17">
        <v>2944.6001000000001</v>
      </c>
      <c r="AM75" s="20" t="str">
        <f t="shared" si="39"/>
        <v>II</v>
      </c>
      <c r="AN75" s="20"/>
      <c r="AO75" s="18">
        <f t="shared" si="53"/>
        <v>0.79810732176656107</v>
      </c>
      <c r="AP75" s="10" t="str">
        <f t="shared" si="54"/>
        <v>Daño del 15-25%</v>
      </c>
      <c r="AQ75" s="19" t="str">
        <f t="shared" ca="1" si="40"/>
        <v>D:\1. Pozos\11. Noviembre\4. DT-96\images\sec_max_pen_T74.png</v>
      </c>
      <c r="AR75" s="19" t="str">
        <f t="shared" ca="1" si="41"/>
        <v>D:\1. Pozos\11. Noviembre\4. DT-96\images\sec_max_res_T74.png</v>
      </c>
      <c r="AS75" s="10" t="str">
        <f t="shared" ca="1" si="42"/>
        <v>D:\1. Pozos\11. Noviembre\4. DT-96\images\74.emf</v>
      </c>
      <c r="AT75" s="19" t="str">
        <f t="shared" ca="1" si="43"/>
        <v>D:\1. Pozos\11. Noviembre\4. DT-96\images\GraficaIntegradaT74.png</v>
      </c>
    </row>
    <row r="76" spans="1:46" x14ac:dyDescent="0.25">
      <c r="A76" s="10" t="str">
        <f t="shared" si="31"/>
        <v>Well-1</v>
      </c>
      <c r="B76" s="10" t="str">
        <f t="shared" si="32"/>
        <v>Exploratorio</v>
      </c>
      <c r="C76" s="10" t="str">
        <f t="shared" si="33"/>
        <v>Colombia</v>
      </c>
      <c r="D76" s="10" t="str">
        <f t="shared" si="34"/>
        <v>State</v>
      </c>
      <c r="E76" s="10" t="str">
        <f t="shared" si="35"/>
        <v>Ecopetrol</v>
      </c>
      <c r="F76" s="10" t="s">
        <v>246</v>
      </c>
      <c r="G76" s="16" t="str">
        <f t="shared" si="36"/>
        <v>24/5/2022</v>
      </c>
      <c r="H76" s="10">
        <v>7</v>
      </c>
      <c r="I76" s="10">
        <v>6.3659999999999997</v>
      </c>
      <c r="J76" s="10">
        <f t="shared" si="44"/>
        <v>0.31700000000000017</v>
      </c>
      <c r="K76" s="10">
        <v>75</v>
      </c>
      <c r="L76" s="21">
        <v>2977.1770000000001</v>
      </c>
      <c r="M76" s="21">
        <v>3015.6419999999998</v>
      </c>
      <c r="N76" s="13">
        <v>38.466000000000001</v>
      </c>
      <c r="O76" s="10">
        <v>6.29600048</v>
      </c>
      <c r="P76" s="11">
        <v>2980.3998999999999</v>
      </c>
      <c r="Q76" s="12">
        <v>0.36050009700000002</v>
      </c>
      <c r="R76" s="12">
        <v>9.5056085600000007</v>
      </c>
      <c r="S76" s="12">
        <v>2977.1999500000002</v>
      </c>
      <c r="T76" s="12">
        <v>0.30306887599999999</v>
      </c>
      <c r="U76" s="10">
        <v>6.5310001399999997</v>
      </c>
      <c r="V76" s="13">
        <v>2980.5</v>
      </c>
      <c r="W76" s="12">
        <v>0.23449993099999999</v>
      </c>
      <c r="X76" s="12">
        <v>26.025238000000002</v>
      </c>
      <c r="Y76" s="17" t="str">
        <f t="shared" si="45"/>
        <v>II</v>
      </c>
      <c r="Z76" s="17">
        <f t="shared" si="46"/>
        <v>26.025258359621496</v>
      </c>
      <c r="AA76" s="17">
        <f t="shared" si="47"/>
        <v>3.7325229047631803</v>
      </c>
      <c r="AB76" s="17">
        <f t="shared" si="48"/>
        <v>2.6434355513263785</v>
      </c>
      <c r="AC76" s="17">
        <f t="shared" si="49"/>
        <v>0.73974741640378516</v>
      </c>
      <c r="AD76" s="17">
        <f t="shared" si="50"/>
        <v>0.8928282224336811</v>
      </c>
      <c r="AE76" s="17">
        <f t="shared" si="51"/>
        <v>0.66</v>
      </c>
      <c r="AF76" s="17">
        <v>6340</v>
      </c>
      <c r="AG76" s="17">
        <v>3830</v>
      </c>
      <c r="AH76" s="17">
        <f t="shared" si="37"/>
        <v>2.95816946E-2</v>
      </c>
      <c r="AI76" s="17">
        <f t="shared" si="52"/>
        <v>4689.9986199999976</v>
      </c>
      <c r="AJ76" s="17">
        <f t="shared" si="38"/>
        <v>2527.8000000000002</v>
      </c>
      <c r="AK76" s="17">
        <v>2.9581694600000001</v>
      </c>
      <c r="AL76" s="17">
        <v>2979.1999500000002</v>
      </c>
      <c r="AM76" s="20" t="str">
        <f t="shared" si="39"/>
        <v>II</v>
      </c>
      <c r="AN76" s="20"/>
      <c r="AO76" s="18">
        <f t="shared" si="53"/>
        <v>0.73974741640378516</v>
      </c>
      <c r="AP76" s="10" t="str">
        <f t="shared" si="54"/>
        <v>Daño del 15-25%</v>
      </c>
      <c r="AQ76" s="19" t="str">
        <f t="shared" ca="1" si="40"/>
        <v>D:\1. Pozos\11. Noviembre\4. DT-96\images\sec_max_pen_T75.png</v>
      </c>
      <c r="AR76" s="19" t="str">
        <f t="shared" ca="1" si="41"/>
        <v>D:\1. Pozos\11. Noviembre\4. DT-96\images\sec_max_res_T75.png</v>
      </c>
      <c r="AS76" s="10" t="str">
        <f t="shared" ca="1" si="42"/>
        <v>D:\1. Pozos\11. Noviembre\4. DT-96\images\75.emf</v>
      </c>
      <c r="AT76" s="19" t="str">
        <f t="shared" ca="1" si="43"/>
        <v>D:\1. Pozos\11. Noviembre\4. DT-96\images\GraficaIntegradaT75.png</v>
      </c>
    </row>
    <row r="77" spans="1:46" x14ac:dyDescent="0.25">
      <c r="A77" s="10" t="str">
        <f t="shared" si="31"/>
        <v>Well-1</v>
      </c>
      <c r="B77" s="10" t="str">
        <f t="shared" si="32"/>
        <v>Exploratorio</v>
      </c>
      <c r="C77" s="10" t="str">
        <f t="shared" si="33"/>
        <v>Colombia</v>
      </c>
      <c r="D77" s="10" t="str">
        <f t="shared" si="34"/>
        <v>State</v>
      </c>
      <c r="E77" s="10" t="str">
        <f t="shared" si="35"/>
        <v>Ecopetrol</v>
      </c>
      <c r="F77" s="10" t="s">
        <v>246</v>
      </c>
      <c r="G77" s="16" t="str">
        <f t="shared" si="36"/>
        <v>24/5/2022</v>
      </c>
      <c r="H77" s="10">
        <v>7</v>
      </c>
      <c r="I77" s="10">
        <v>6.3659999999999997</v>
      </c>
      <c r="J77" s="10">
        <f t="shared" si="44"/>
        <v>0.31700000000000017</v>
      </c>
      <c r="K77" s="10">
        <v>76</v>
      </c>
      <c r="L77" s="21">
        <v>3017.1419999999998</v>
      </c>
      <c r="M77" s="21">
        <v>3057.5390000000002</v>
      </c>
      <c r="N77" s="13">
        <v>40.396000000000001</v>
      </c>
      <c r="O77" s="10">
        <v>6.3160004599999997</v>
      </c>
      <c r="P77" s="11">
        <v>3052.8998999999999</v>
      </c>
      <c r="Q77" s="12">
        <v>0.35599994699999998</v>
      </c>
      <c r="R77" s="12">
        <v>10.2085629</v>
      </c>
      <c r="S77" s="12">
        <v>3017.3998999999999</v>
      </c>
      <c r="T77" s="12">
        <v>0.30093073799999998</v>
      </c>
      <c r="U77" s="10">
        <v>6.48899984</v>
      </c>
      <c r="V77" s="13">
        <v>3052.8000499999998</v>
      </c>
      <c r="W77" s="12">
        <v>0.25550007800000002</v>
      </c>
      <c r="X77" s="12">
        <v>19.400583300000001</v>
      </c>
      <c r="Y77" s="17" t="str">
        <f t="shared" si="45"/>
        <v>I</v>
      </c>
      <c r="Z77" s="17">
        <f t="shared" si="46"/>
        <v>19.400606309148301</v>
      </c>
      <c r="AA77" s="17">
        <f t="shared" si="47"/>
        <v>2.7390653483264638</v>
      </c>
      <c r="AB77" s="17">
        <f t="shared" si="48"/>
        <v>2.0197705938735933</v>
      </c>
      <c r="AC77" s="17">
        <f t="shared" si="49"/>
        <v>0.80599393690851695</v>
      </c>
      <c r="AD77" s="17">
        <f t="shared" si="50"/>
        <v>0.92401147030632036</v>
      </c>
      <c r="AE77" s="17">
        <f t="shared" si="51"/>
        <v>0.74</v>
      </c>
      <c r="AF77" s="17">
        <v>6340</v>
      </c>
      <c r="AG77" s="17">
        <v>3830</v>
      </c>
      <c r="AH77" s="17">
        <f t="shared" si="37"/>
        <v>2.4116597199999999E-2</v>
      </c>
      <c r="AI77" s="17">
        <f t="shared" si="52"/>
        <v>5110.0015599999979</v>
      </c>
      <c r="AJ77" s="17">
        <f t="shared" si="38"/>
        <v>2834.2</v>
      </c>
      <c r="AK77" s="17">
        <v>2.4116597199999998</v>
      </c>
      <c r="AL77" s="17">
        <v>3052.8998999999999</v>
      </c>
      <c r="AM77" s="20" t="str">
        <f t="shared" si="39"/>
        <v>II</v>
      </c>
      <c r="AN77" s="20"/>
      <c r="AO77" s="18">
        <f t="shared" si="53"/>
        <v>0.80599393690851695</v>
      </c>
      <c r="AP77" s="10" t="str">
        <f t="shared" si="54"/>
        <v>Daño del 0-15%</v>
      </c>
      <c r="AQ77" s="19" t="str">
        <f t="shared" ca="1" si="40"/>
        <v>D:\1. Pozos\11. Noviembre\4. DT-96\images\sec_max_pen_T76.png</v>
      </c>
      <c r="AR77" s="19" t="str">
        <f t="shared" ca="1" si="41"/>
        <v>D:\1. Pozos\11. Noviembre\4. DT-96\images\sec_max_res_T76.png</v>
      </c>
      <c r="AS77" s="10" t="str">
        <f t="shared" ca="1" si="42"/>
        <v>D:\1. Pozos\11. Noviembre\4. DT-96\images\76.emf</v>
      </c>
      <c r="AT77" s="19" t="str">
        <f t="shared" ca="1" si="43"/>
        <v>D:\1. Pozos\11. Noviembre\4. DT-96\images\GraficaIntegradaT76.png</v>
      </c>
    </row>
    <row r="78" spans="1:46" x14ac:dyDescent="0.25">
      <c r="A78" s="10" t="str">
        <f t="shared" si="31"/>
        <v>Well-1</v>
      </c>
      <c r="B78" s="10" t="str">
        <f t="shared" si="32"/>
        <v>Exploratorio</v>
      </c>
      <c r="C78" s="10" t="str">
        <f t="shared" si="33"/>
        <v>Colombia</v>
      </c>
      <c r="D78" s="10" t="str">
        <f t="shared" si="34"/>
        <v>State</v>
      </c>
      <c r="E78" s="10" t="str">
        <f t="shared" si="35"/>
        <v>Ecopetrol</v>
      </c>
      <c r="F78" s="10" t="s">
        <v>246</v>
      </c>
      <c r="G78" s="16" t="str">
        <f t="shared" si="36"/>
        <v>24/5/2022</v>
      </c>
      <c r="H78" s="10">
        <v>7</v>
      </c>
      <c r="I78" s="10">
        <v>6.3659999999999997</v>
      </c>
      <c r="J78" s="10">
        <f t="shared" si="44"/>
        <v>0.31700000000000017</v>
      </c>
      <c r="K78" s="10">
        <v>77</v>
      </c>
      <c r="L78" s="21">
        <v>3059.0390000000002</v>
      </c>
      <c r="M78" s="21">
        <v>3098.47</v>
      </c>
      <c r="N78" s="13">
        <v>39.430999999999997</v>
      </c>
      <c r="O78" s="10">
        <v>6.0930004100000001</v>
      </c>
      <c r="P78" s="11">
        <v>3083.8000499999998</v>
      </c>
      <c r="Q78" s="12">
        <v>0.58299994499999996</v>
      </c>
      <c r="R78" s="12">
        <v>13.350819599999999</v>
      </c>
      <c r="S78" s="12">
        <v>3059.1999500000002</v>
      </c>
      <c r="T78" s="12">
        <v>0.30233430900000002</v>
      </c>
      <c r="U78" s="10">
        <v>6.7529997799999997</v>
      </c>
      <c r="V78" s="13">
        <v>3087.6999500000002</v>
      </c>
      <c r="W78" s="12">
        <v>0.123500109</v>
      </c>
      <c r="X78" s="12">
        <v>61.040962200000003</v>
      </c>
      <c r="Y78" s="17" t="str">
        <f t="shared" si="45"/>
        <v>IV</v>
      </c>
      <c r="Z78" s="17">
        <f t="shared" si="46"/>
        <v>61.040975078864378</v>
      </c>
      <c r="AA78" s="17">
        <f t="shared" si="47"/>
        <v>10.83209134397547</v>
      </c>
      <c r="AB78" s="17">
        <f t="shared" si="48"/>
        <v>7.8970152243925451</v>
      </c>
      <c r="AC78" s="17">
        <f t="shared" si="49"/>
        <v>0.38959024921135621</v>
      </c>
      <c r="AD78" s="17">
        <f t="shared" si="50"/>
        <v>0.63014923878037266</v>
      </c>
      <c r="AE78" s="17">
        <f t="shared" si="51"/>
        <v>0.25</v>
      </c>
      <c r="AF78" s="17">
        <v>6340</v>
      </c>
      <c r="AG78" s="17">
        <v>3830</v>
      </c>
      <c r="AH78" s="17">
        <f t="shared" si="37"/>
        <v>3.8300905199999999E-2</v>
      </c>
      <c r="AI78" s="17">
        <f t="shared" si="52"/>
        <v>2470.0021799999986</v>
      </c>
      <c r="AJ78" s="17">
        <f t="shared" si="38"/>
        <v>957.5</v>
      </c>
      <c r="AK78" s="17">
        <v>3.8300905200000002</v>
      </c>
      <c r="AL78" s="17">
        <v>3084.1999500000002</v>
      </c>
      <c r="AM78" s="20" t="str">
        <f t="shared" si="39"/>
        <v>II</v>
      </c>
      <c r="AN78" s="20" t="s">
        <v>423</v>
      </c>
      <c r="AO78" s="18">
        <f t="shared" si="53"/>
        <v>0.38959024921135621</v>
      </c>
      <c r="AP78" s="10" t="str">
        <f t="shared" si="54"/>
        <v>Daño del 50-100%</v>
      </c>
      <c r="AQ78" s="19" t="str">
        <f t="shared" ca="1" si="40"/>
        <v>D:\1. Pozos\11. Noviembre\4. DT-96\images\sec_max_pen_T77.png</v>
      </c>
      <c r="AR78" s="19" t="str">
        <f t="shared" ca="1" si="41"/>
        <v>D:\1. Pozos\11. Noviembre\4. DT-96\images\sec_max_res_T77.png</v>
      </c>
      <c r="AS78" s="10" t="str">
        <f t="shared" ca="1" si="42"/>
        <v>D:\1. Pozos\11. Noviembre\4. DT-96\images\77.emf</v>
      </c>
      <c r="AT78" s="19" t="str">
        <f t="shared" ca="1" si="43"/>
        <v>D:\1. Pozos\11. Noviembre\4. DT-96\images\GraficaIntegradaT77.png</v>
      </c>
    </row>
    <row r="79" spans="1:46" x14ac:dyDescent="0.25">
      <c r="A79" s="10" t="str">
        <f t="shared" si="31"/>
        <v>Well-1</v>
      </c>
      <c r="B79" s="10" t="str">
        <f t="shared" si="32"/>
        <v>Exploratorio</v>
      </c>
      <c r="C79" s="10" t="str">
        <f t="shared" si="33"/>
        <v>Colombia</v>
      </c>
      <c r="D79" s="10" t="str">
        <f t="shared" si="34"/>
        <v>State</v>
      </c>
      <c r="E79" s="10" t="str">
        <f t="shared" si="35"/>
        <v>Ecopetrol</v>
      </c>
      <c r="F79" s="10" t="s">
        <v>246</v>
      </c>
      <c r="G79" s="16" t="str">
        <f t="shared" si="36"/>
        <v>24/5/2022</v>
      </c>
      <c r="H79" s="10">
        <v>7</v>
      </c>
      <c r="I79" s="10">
        <v>6.3659999999999997</v>
      </c>
      <c r="J79" s="10">
        <f t="shared" si="44"/>
        <v>0.31700000000000017</v>
      </c>
      <c r="K79" s="10">
        <v>78</v>
      </c>
      <c r="L79" s="21">
        <v>3099.97</v>
      </c>
      <c r="M79" s="21">
        <v>3140.752</v>
      </c>
      <c r="N79" s="13">
        <v>40.781999999999996</v>
      </c>
      <c r="O79" s="10">
        <v>6.2965002099999996</v>
      </c>
      <c r="P79" s="11">
        <v>3132.5</v>
      </c>
      <c r="Q79" s="12">
        <v>0.358999968</v>
      </c>
      <c r="R79" s="12">
        <v>7.1162910500000001</v>
      </c>
      <c r="S79" s="12">
        <v>3132.6001000000001</v>
      </c>
      <c r="T79" s="12">
        <v>0.30305481000000001</v>
      </c>
      <c r="U79" s="10">
        <v>6.50600004</v>
      </c>
      <c r="V79" s="13">
        <v>3132.5</v>
      </c>
      <c r="W79" s="12">
        <v>0.24699997900000001</v>
      </c>
      <c r="X79" s="12">
        <v>22.0820045</v>
      </c>
      <c r="Y79" s="17" t="str">
        <f t="shared" si="45"/>
        <v>II</v>
      </c>
      <c r="Z79" s="17">
        <f t="shared" si="46"/>
        <v>22.082025552050514</v>
      </c>
      <c r="AA79" s="17">
        <f t="shared" si="47"/>
        <v>3.3272424841227943</v>
      </c>
      <c r="AB79" s="17">
        <f t="shared" si="48"/>
        <v>2.4369887061434836</v>
      </c>
      <c r="AC79" s="17">
        <f t="shared" si="49"/>
        <v>0.7791797444794949</v>
      </c>
      <c r="AD79" s="17">
        <f t="shared" si="50"/>
        <v>0.90315056469282584</v>
      </c>
      <c r="AE79" s="17">
        <f t="shared" si="51"/>
        <v>0.7</v>
      </c>
      <c r="AF79" s="17">
        <v>6340</v>
      </c>
      <c r="AG79" s="17">
        <v>3830</v>
      </c>
      <c r="AH79" s="17">
        <f t="shared" si="37"/>
        <v>2.9783003300000003E-2</v>
      </c>
      <c r="AI79" s="17">
        <f t="shared" si="52"/>
        <v>4939.9995799999979</v>
      </c>
      <c r="AJ79" s="17">
        <f t="shared" si="38"/>
        <v>2681</v>
      </c>
      <c r="AK79" s="17">
        <v>2.9783003300000002</v>
      </c>
      <c r="AL79" s="17">
        <v>3132.6001000000001</v>
      </c>
      <c r="AM79" s="20" t="str">
        <f t="shared" si="39"/>
        <v>II</v>
      </c>
      <c r="AN79" s="20"/>
      <c r="AO79" s="18">
        <f t="shared" si="53"/>
        <v>0.7791797444794949</v>
      </c>
      <c r="AP79" s="10" t="str">
        <f t="shared" si="54"/>
        <v>Daño del 15-25%</v>
      </c>
      <c r="AQ79" s="19" t="str">
        <f t="shared" ca="1" si="40"/>
        <v>D:\1. Pozos\11. Noviembre\4. DT-96\images\sec_max_pen_T78.png</v>
      </c>
      <c r="AR79" s="19" t="str">
        <f t="shared" ca="1" si="41"/>
        <v>D:\1. Pozos\11. Noviembre\4. DT-96\images\sec_max_res_T78.png</v>
      </c>
      <c r="AS79" s="10" t="str">
        <f t="shared" ca="1" si="42"/>
        <v>D:\1. Pozos\11. Noviembre\4. DT-96\images\78.emf</v>
      </c>
      <c r="AT79" s="19" t="str">
        <f t="shared" ca="1" si="43"/>
        <v>D:\1. Pozos\11. Noviembre\4. DT-96\images\GraficaIntegradaT78.png</v>
      </c>
    </row>
    <row r="80" spans="1:46" x14ac:dyDescent="0.25">
      <c r="A80" s="10" t="str">
        <f t="shared" si="31"/>
        <v>Well-1</v>
      </c>
      <c r="B80" s="10" t="str">
        <f t="shared" si="32"/>
        <v>Exploratorio</v>
      </c>
      <c r="C80" s="10" t="str">
        <f t="shared" si="33"/>
        <v>Colombia</v>
      </c>
      <c r="D80" s="10" t="str">
        <f t="shared" si="34"/>
        <v>State</v>
      </c>
      <c r="E80" s="10" t="str">
        <f t="shared" si="35"/>
        <v>Ecopetrol</v>
      </c>
      <c r="F80" s="10" t="s">
        <v>246</v>
      </c>
      <c r="G80" s="16" t="str">
        <f t="shared" si="36"/>
        <v>24/5/2022</v>
      </c>
      <c r="H80" s="10">
        <v>7</v>
      </c>
      <c r="I80" s="10">
        <v>6.3659999999999997</v>
      </c>
      <c r="J80" s="10">
        <f t="shared" si="44"/>
        <v>0.31700000000000017</v>
      </c>
      <c r="K80" s="10">
        <v>79</v>
      </c>
      <c r="L80" s="21">
        <v>3142.252</v>
      </c>
      <c r="M80" s="21">
        <v>3180.1390000000001</v>
      </c>
      <c r="N80" s="13">
        <v>37.886000000000003</v>
      </c>
      <c r="O80" s="10">
        <v>6.2690005299999996</v>
      </c>
      <c r="P80" s="11">
        <v>3143.8000499999998</v>
      </c>
      <c r="Q80" s="12">
        <v>0.378999949</v>
      </c>
      <c r="R80" s="12">
        <v>8.6414003400000006</v>
      </c>
      <c r="S80" s="12">
        <v>3144.1001000000001</v>
      </c>
      <c r="T80" s="12">
        <v>0.30101323099999999</v>
      </c>
      <c r="U80" s="10">
        <v>6.5460000000000003</v>
      </c>
      <c r="V80" s="13">
        <v>3144.1001000000001</v>
      </c>
      <c r="W80" s="12">
        <v>0.22699999800000001</v>
      </c>
      <c r="X80" s="12">
        <v>28.3911476</v>
      </c>
      <c r="Y80" s="17" t="str">
        <f t="shared" si="45"/>
        <v>II</v>
      </c>
      <c r="Z80" s="17">
        <f t="shared" si="46"/>
        <v>28.391167823343881</v>
      </c>
      <c r="AA80" s="17">
        <f t="shared" si="47"/>
        <v>4.4185587267768334</v>
      </c>
      <c r="AB80" s="17">
        <f t="shared" si="48"/>
        <v>3.2379361914011584</v>
      </c>
      <c r="AC80" s="17">
        <f t="shared" si="49"/>
        <v>0.71608832176656123</v>
      </c>
      <c r="AD80" s="17">
        <f t="shared" si="50"/>
        <v>0.8631031904299421</v>
      </c>
      <c r="AE80" s="17">
        <f t="shared" si="51"/>
        <v>0.62</v>
      </c>
      <c r="AF80" s="17">
        <v>6340</v>
      </c>
      <c r="AG80" s="17">
        <v>3830</v>
      </c>
      <c r="AH80" s="17">
        <f t="shared" si="37"/>
        <v>4.1113634099999997E-2</v>
      </c>
      <c r="AI80" s="17">
        <f t="shared" si="52"/>
        <v>4539.9999599999983</v>
      </c>
      <c r="AJ80" s="17">
        <f t="shared" si="38"/>
        <v>2374.6</v>
      </c>
      <c r="AK80" s="17">
        <v>4.1113634100000001</v>
      </c>
      <c r="AL80" s="17">
        <v>3144.1001000000001</v>
      </c>
      <c r="AM80" s="20" t="str">
        <f t="shared" si="39"/>
        <v>II</v>
      </c>
      <c r="AN80" s="20"/>
      <c r="AO80" s="18">
        <f t="shared" si="53"/>
        <v>0.71608832176656112</v>
      </c>
      <c r="AP80" s="10" t="str">
        <f t="shared" si="54"/>
        <v>Daño del 15-25%</v>
      </c>
      <c r="AQ80" s="19" t="str">
        <f t="shared" ca="1" si="40"/>
        <v>D:\1. Pozos\11. Noviembre\4. DT-96\images\sec_max_pen_T79.png</v>
      </c>
      <c r="AR80" s="19" t="str">
        <f t="shared" ca="1" si="41"/>
        <v>D:\1. Pozos\11. Noviembre\4. DT-96\images\sec_max_res_T79.png</v>
      </c>
      <c r="AS80" s="10" t="str">
        <f t="shared" ca="1" si="42"/>
        <v>D:\1. Pozos\11. Noviembre\4. DT-96\images\79.emf</v>
      </c>
      <c r="AT80" s="19" t="str">
        <f t="shared" ca="1" si="43"/>
        <v>D:\1. Pozos\11. Noviembre\4. DT-96\images\GraficaIntegradaT79.png</v>
      </c>
    </row>
    <row r="81" spans="1:46" x14ac:dyDescent="0.25">
      <c r="A81" s="10" t="str">
        <f t="shared" si="31"/>
        <v>Well-1</v>
      </c>
      <c r="B81" s="10" t="str">
        <f t="shared" si="32"/>
        <v>Exploratorio</v>
      </c>
      <c r="C81" s="10" t="str">
        <f t="shared" si="33"/>
        <v>Colombia</v>
      </c>
      <c r="D81" s="10" t="str">
        <f t="shared" si="34"/>
        <v>State</v>
      </c>
      <c r="E81" s="10" t="str">
        <f t="shared" si="35"/>
        <v>Ecopetrol</v>
      </c>
      <c r="F81" s="10" t="s">
        <v>246</v>
      </c>
      <c r="G81" s="16" t="str">
        <f t="shared" si="36"/>
        <v>24/5/2022</v>
      </c>
      <c r="H81" s="10">
        <v>7</v>
      </c>
      <c r="I81" s="10">
        <v>6.3659999999999997</v>
      </c>
      <c r="J81" s="10">
        <f t="shared" si="44"/>
        <v>0.31700000000000017</v>
      </c>
      <c r="K81" s="10">
        <v>80</v>
      </c>
      <c r="L81" s="21">
        <v>3181.6390000000001</v>
      </c>
      <c r="M81" s="21">
        <v>3220.2979999999998</v>
      </c>
      <c r="N81" s="13">
        <v>38.658999999999999</v>
      </c>
      <c r="O81" s="10">
        <v>6.3420004800000003</v>
      </c>
      <c r="P81" s="11">
        <v>3208.1999500000002</v>
      </c>
      <c r="Q81" s="12">
        <v>0.33850002299999998</v>
      </c>
      <c r="R81" s="12">
        <v>12.8787851</v>
      </c>
      <c r="S81" s="12">
        <v>3181.6001000000001</v>
      </c>
      <c r="T81" s="12">
        <v>0.30218029000000002</v>
      </c>
      <c r="U81" s="10">
        <v>6.4949998899999999</v>
      </c>
      <c r="V81" s="13">
        <v>3218.3998999999999</v>
      </c>
      <c r="W81" s="12">
        <v>0.252500057</v>
      </c>
      <c r="X81" s="12">
        <v>20.346963899999999</v>
      </c>
      <c r="Y81" s="17" t="str">
        <f t="shared" si="45"/>
        <v>II</v>
      </c>
      <c r="Z81" s="17">
        <f t="shared" si="46"/>
        <v>20.346985173501619</v>
      </c>
      <c r="AA81" s="17">
        <f t="shared" si="47"/>
        <v>2.412478688427977</v>
      </c>
      <c r="AB81" s="17">
        <f t="shared" si="48"/>
        <v>1.6291259725669249</v>
      </c>
      <c r="AC81" s="17">
        <f t="shared" si="49"/>
        <v>0.79653014826498381</v>
      </c>
      <c r="AD81" s="17">
        <f t="shared" si="50"/>
        <v>0.94354370137165378</v>
      </c>
      <c r="AE81" s="17">
        <f t="shared" si="51"/>
        <v>0.75</v>
      </c>
      <c r="AF81" s="17">
        <v>6340</v>
      </c>
      <c r="AG81" s="17">
        <v>3830</v>
      </c>
      <c r="AH81" s="17">
        <f t="shared" si="37"/>
        <v>1.6355053200000001E-2</v>
      </c>
      <c r="AI81" s="17">
        <f t="shared" si="52"/>
        <v>5050.0011399999976</v>
      </c>
      <c r="AJ81" s="17">
        <f t="shared" si="38"/>
        <v>2872.5</v>
      </c>
      <c r="AK81" s="17">
        <v>1.63550532</v>
      </c>
      <c r="AL81" s="17">
        <v>3200</v>
      </c>
      <c r="AM81" s="20" t="str">
        <f t="shared" si="39"/>
        <v>I</v>
      </c>
      <c r="AN81" s="20"/>
      <c r="AO81" s="18">
        <f t="shared" si="53"/>
        <v>0.79653014826498381</v>
      </c>
      <c r="AP81" s="10" t="str">
        <f t="shared" si="54"/>
        <v>Daño del 15-25%</v>
      </c>
      <c r="AQ81" s="19" t="str">
        <f t="shared" ca="1" si="40"/>
        <v>D:\1. Pozos\11. Noviembre\4. DT-96\images\sec_max_pen_T80.png</v>
      </c>
      <c r="AR81" s="19" t="str">
        <f t="shared" ca="1" si="41"/>
        <v>D:\1. Pozos\11. Noviembre\4. DT-96\images\sec_max_res_T80.png</v>
      </c>
      <c r="AS81" s="10" t="str">
        <f t="shared" ca="1" si="42"/>
        <v>D:\1. Pozos\11. Noviembre\4. DT-96\images\80.emf</v>
      </c>
      <c r="AT81" s="19" t="str">
        <f t="shared" ca="1" si="43"/>
        <v>D:\1. Pozos\11. Noviembre\4. DT-96\images\GraficaIntegradaT80.png</v>
      </c>
    </row>
    <row r="82" spans="1:46" x14ac:dyDescent="0.25">
      <c r="A82" s="10" t="str">
        <f t="shared" si="31"/>
        <v>Well-1</v>
      </c>
      <c r="B82" s="10" t="str">
        <f t="shared" si="32"/>
        <v>Exploratorio</v>
      </c>
      <c r="C82" s="10" t="str">
        <f t="shared" si="33"/>
        <v>Colombia</v>
      </c>
      <c r="D82" s="10" t="str">
        <f t="shared" si="34"/>
        <v>State</v>
      </c>
      <c r="E82" s="10" t="str">
        <f t="shared" si="35"/>
        <v>Ecopetrol</v>
      </c>
      <c r="F82" s="10" t="s">
        <v>246</v>
      </c>
      <c r="G82" s="16" t="str">
        <f t="shared" si="36"/>
        <v>24/5/2022</v>
      </c>
      <c r="H82" s="10">
        <v>7</v>
      </c>
      <c r="I82" s="10">
        <v>6.3659999999999997</v>
      </c>
      <c r="J82" s="10">
        <f t="shared" si="44"/>
        <v>0.31700000000000017</v>
      </c>
      <c r="K82" s="10">
        <v>81</v>
      </c>
      <c r="L82" s="21">
        <v>3221.7979999999998</v>
      </c>
      <c r="M82" s="21">
        <v>3262.9659999999999</v>
      </c>
      <c r="N82" s="13">
        <v>41.168999999999997</v>
      </c>
      <c r="O82" s="10">
        <v>6.2515001300000002</v>
      </c>
      <c r="P82" s="11">
        <v>3239.3998999999999</v>
      </c>
      <c r="Q82" s="12">
        <v>0.39599990800000001</v>
      </c>
      <c r="R82" s="12">
        <v>11.823057199999999</v>
      </c>
      <c r="S82" s="12">
        <v>3221.8000499999998</v>
      </c>
      <c r="T82" s="12">
        <v>0.29804563499999998</v>
      </c>
      <c r="U82" s="10">
        <v>6.6750001900000004</v>
      </c>
      <c r="V82" s="13">
        <v>3234.1999500000002</v>
      </c>
      <c r="W82" s="12">
        <v>0.162499905</v>
      </c>
      <c r="X82" s="12">
        <v>48.738185899999998</v>
      </c>
      <c r="Y82" s="17" t="str">
        <f t="shared" si="45"/>
        <v>III</v>
      </c>
      <c r="Z82" s="17">
        <f t="shared" si="46"/>
        <v>48.738200315457441</v>
      </c>
      <c r="AA82" s="17">
        <f t="shared" si="47"/>
        <v>6.7743749691004274</v>
      </c>
      <c r="AB82" s="17">
        <f t="shared" si="48"/>
        <v>4.6061637049026327</v>
      </c>
      <c r="AC82" s="17">
        <f t="shared" si="49"/>
        <v>0.51261799684542564</v>
      </c>
      <c r="AD82" s="17">
        <f t="shared" si="50"/>
        <v>0.79469181475486839</v>
      </c>
      <c r="AE82" s="17">
        <f t="shared" si="51"/>
        <v>0.41</v>
      </c>
      <c r="AF82" s="17">
        <v>6340</v>
      </c>
      <c r="AG82" s="17">
        <v>3830</v>
      </c>
      <c r="AH82" s="17">
        <f t="shared" si="37"/>
        <v>4.2701435099999997E-2</v>
      </c>
      <c r="AI82" s="17">
        <f t="shared" si="52"/>
        <v>3249.9980999999984</v>
      </c>
      <c r="AJ82" s="17">
        <f t="shared" si="38"/>
        <v>1570.3</v>
      </c>
      <c r="AK82" s="17">
        <v>4.2701435099999996</v>
      </c>
      <c r="AL82" s="17">
        <v>3241.5</v>
      </c>
      <c r="AM82" s="20" t="str">
        <f t="shared" si="39"/>
        <v>II</v>
      </c>
      <c r="AN82" s="20" t="s">
        <v>423</v>
      </c>
      <c r="AO82" s="18">
        <f t="shared" si="53"/>
        <v>0.51261799684542564</v>
      </c>
      <c r="AP82" s="10" t="str">
        <f t="shared" si="54"/>
        <v>Daño del 25-50%</v>
      </c>
      <c r="AQ82" s="19" t="str">
        <f t="shared" ca="1" si="40"/>
        <v>D:\1. Pozos\11. Noviembre\4. DT-96\images\sec_max_pen_T81.png</v>
      </c>
      <c r="AR82" s="19" t="str">
        <f t="shared" ca="1" si="41"/>
        <v>D:\1. Pozos\11. Noviembre\4. DT-96\images\sec_max_res_T81.png</v>
      </c>
      <c r="AS82" s="10" t="str">
        <f t="shared" ca="1" si="42"/>
        <v>D:\1. Pozos\11. Noviembre\4. DT-96\images\81.emf</v>
      </c>
      <c r="AT82" s="19" t="str">
        <f t="shared" ca="1" si="43"/>
        <v>D:\1. Pozos\11. Noviembre\4. DT-96\images\GraficaIntegradaT81.png</v>
      </c>
    </row>
    <row r="83" spans="1:46" x14ac:dyDescent="0.25">
      <c r="A83" s="10" t="str">
        <f t="shared" si="31"/>
        <v>Well-1</v>
      </c>
      <c r="B83" s="10" t="str">
        <f t="shared" si="32"/>
        <v>Exploratorio</v>
      </c>
      <c r="C83" s="10" t="str">
        <f t="shared" si="33"/>
        <v>Colombia</v>
      </c>
      <c r="D83" s="10" t="str">
        <f t="shared" si="34"/>
        <v>State</v>
      </c>
      <c r="E83" s="10" t="str">
        <f t="shared" si="35"/>
        <v>Ecopetrol</v>
      </c>
      <c r="F83" s="10" t="s">
        <v>246</v>
      </c>
      <c r="G83" s="16" t="str">
        <f t="shared" si="36"/>
        <v>24/5/2022</v>
      </c>
      <c r="H83" s="10">
        <v>7</v>
      </c>
      <c r="I83" s="10">
        <v>6.3659999999999997</v>
      </c>
      <c r="J83" s="10">
        <f t="shared" si="44"/>
        <v>0.31700000000000017</v>
      </c>
      <c r="K83" s="10">
        <v>82</v>
      </c>
      <c r="L83" s="21">
        <v>3264.4659999999999</v>
      </c>
      <c r="M83" s="21">
        <v>3302.3530000000001</v>
      </c>
      <c r="N83" s="13">
        <v>37.886000000000003</v>
      </c>
      <c r="O83" s="10">
        <v>6.3195004499999996</v>
      </c>
      <c r="P83" s="11">
        <v>3301.5</v>
      </c>
      <c r="Q83" s="12">
        <v>0.34800005000000001</v>
      </c>
      <c r="R83" s="12">
        <v>6.0028729399999996</v>
      </c>
      <c r="S83" s="12">
        <v>3301.5</v>
      </c>
      <c r="T83" s="12">
        <v>0.30236935599999998</v>
      </c>
      <c r="U83" s="10">
        <v>6.4869999900000002</v>
      </c>
      <c r="V83" s="13">
        <v>3301.3998999999999</v>
      </c>
      <c r="W83" s="12">
        <v>0.256500006</v>
      </c>
      <c r="X83" s="12">
        <v>19.0851498</v>
      </c>
      <c r="Y83" s="17" t="str">
        <f t="shared" si="45"/>
        <v>I</v>
      </c>
      <c r="Z83" s="17">
        <f t="shared" si="46"/>
        <v>19.085171608832852</v>
      </c>
      <c r="AA83" s="17">
        <f t="shared" si="47"/>
        <v>2.6505186814252069</v>
      </c>
      <c r="AB83" s="17">
        <f t="shared" si="48"/>
        <v>1.9246804547660146</v>
      </c>
      <c r="AC83" s="17">
        <f t="shared" si="49"/>
        <v>0.80914828391167148</v>
      </c>
      <c r="AD83" s="17">
        <f t="shared" si="50"/>
        <v>0.92876597726169929</v>
      </c>
      <c r="AE83" s="17">
        <f t="shared" si="51"/>
        <v>0.75</v>
      </c>
      <c r="AF83" s="17">
        <v>6340</v>
      </c>
      <c r="AG83" s="17">
        <v>3830</v>
      </c>
      <c r="AH83" s="17">
        <f t="shared" si="37"/>
        <v>2.2592093900000002E-2</v>
      </c>
      <c r="AI83" s="17">
        <f t="shared" si="52"/>
        <v>5130.000119999997</v>
      </c>
      <c r="AJ83" s="17">
        <f t="shared" si="38"/>
        <v>2872.5</v>
      </c>
      <c r="AK83" s="17">
        <v>2.2592093900000001</v>
      </c>
      <c r="AL83" s="17">
        <v>3301.5</v>
      </c>
      <c r="AM83" s="20" t="str">
        <f t="shared" si="39"/>
        <v>II</v>
      </c>
      <c r="AN83" s="20"/>
      <c r="AO83" s="18">
        <f t="shared" si="53"/>
        <v>0.80914828391167148</v>
      </c>
      <c r="AP83" s="10" t="str">
        <f t="shared" si="54"/>
        <v>Daño del 0-15%</v>
      </c>
      <c r="AQ83" s="19" t="str">
        <f t="shared" ca="1" si="40"/>
        <v>D:\1. Pozos\11. Noviembre\4. DT-96\images\sec_max_pen_T82.png</v>
      </c>
      <c r="AR83" s="19" t="str">
        <f t="shared" ca="1" si="41"/>
        <v>D:\1. Pozos\11. Noviembre\4. DT-96\images\sec_max_res_T82.png</v>
      </c>
      <c r="AS83" s="10" t="str">
        <f t="shared" ca="1" si="42"/>
        <v>D:\1. Pozos\11. Noviembre\4. DT-96\images\82.emf</v>
      </c>
      <c r="AT83" s="19" t="str">
        <f t="shared" ca="1" si="43"/>
        <v>D:\1. Pozos\11. Noviembre\4. DT-96\images\GraficaIntegradaT82.png</v>
      </c>
    </row>
    <row r="84" spans="1:46" x14ac:dyDescent="0.25">
      <c r="A84" s="10" t="str">
        <f t="shared" si="31"/>
        <v>Well-1</v>
      </c>
      <c r="B84" s="10" t="str">
        <f t="shared" si="32"/>
        <v>Exploratorio</v>
      </c>
      <c r="C84" s="10" t="str">
        <f t="shared" si="33"/>
        <v>Colombia</v>
      </c>
      <c r="D84" s="10" t="str">
        <f t="shared" si="34"/>
        <v>State</v>
      </c>
      <c r="E84" s="10" t="str">
        <f t="shared" si="35"/>
        <v>Ecopetrol</v>
      </c>
      <c r="F84" s="10" t="s">
        <v>246</v>
      </c>
      <c r="G84" s="16" t="str">
        <f t="shared" si="36"/>
        <v>24/5/2022</v>
      </c>
      <c r="H84" s="10">
        <v>7</v>
      </c>
      <c r="I84" s="10">
        <v>6.3659999999999997</v>
      </c>
      <c r="J84" s="10">
        <f t="shared" si="44"/>
        <v>0.31700000000000017</v>
      </c>
      <c r="K84" s="10">
        <v>83</v>
      </c>
      <c r="L84" s="21">
        <v>3303.8530000000001</v>
      </c>
      <c r="M84" s="21">
        <v>3345.7939999999999</v>
      </c>
      <c r="N84" s="13">
        <v>41.941000000000003</v>
      </c>
      <c r="O84" s="10">
        <v>6.2635002100000001</v>
      </c>
      <c r="P84" s="11">
        <v>3310</v>
      </c>
      <c r="Q84" s="12">
        <v>0.37700009299999998</v>
      </c>
      <c r="R84" s="12">
        <v>12.216516499999999</v>
      </c>
      <c r="S84" s="12">
        <v>3345.6999500000002</v>
      </c>
      <c r="T84" s="12">
        <v>0.30272817600000002</v>
      </c>
      <c r="U84" s="10">
        <v>6.5149998699999996</v>
      </c>
      <c r="V84" s="13">
        <v>3310.1001000000001</v>
      </c>
      <c r="W84" s="12">
        <v>0.24250006700000001</v>
      </c>
      <c r="X84" s="12">
        <v>23.501535400000002</v>
      </c>
      <c r="Y84" s="17" t="str">
        <f t="shared" si="45"/>
        <v>II</v>
      </c>
      <c r="Z84" s="17">
        <f t="shared" si="46"/>
        <v>23.501556151419596</v>
      </c>
      <c r="AA84" s="17">
        <f t="shared" si="47"/>
        <v>4.0153213310102132</v>
      </c>
      <c r="AB84" s="17">
        <f t="shared" si="48"/>
        <v>3.0537486163826566</v>
      </c>
      <c r="AC84" s="17">
        <f t="shared" si="49"/>
        <v>0.76498443848580411</v>
      </c>
      <c r="AD84" s="17">
        <f t="shared" si="50"/>
        <v>0.87231256918086719</v>
      </c>
      <c r="AE84" s="17">
        <f t="shared" si="51"/>
        <v>0.67</v>
      </c>
      <c r="AF84" s="17">
        <v>6340</v>
      </c>
      <c r="AG84" s="17">
        <v>3830</v>
      </c>
      <c r="AH84" s="17">
        <f t="shared" si="37"/>
        <v>3.6079607E-2</v>
      </c>
      <c r="AI84" s="17">
        <f t="shared" si="52"/>
        <v>4850.001339999998</v>
      </c>
      <c r="AJ84" s="17">
        <f t="shared" si="38"/>
        <v>2566.1000000000004</v>
      </c>
      <c r="AK84" s="17">
        <v>3.6079607</v>
      </c>
      <c r="AL84" s="17">
        <v>3310</v>
      </c>
      <c r="AM84" s="20" t="str">
        <f t="shared" si="39"/>
        <v>II</v>
      </c>
      <c r="AN84" s="20"/>
      <c r="AO84" s="18">
        <f t="shared" si="53"/>
        <v>0.76498443848580411</v>
      </c>
      <c r="AP84" s="10" t="str">
        <f t="shared" si="54"/>
        <v>Daño del 15-25%</v>
      </c>
      <c r="AQ84" s="19" t="str">
        <f t="shared" ca="1" si="40"/>
        <v>D:\1. Pozos\11. Noviembre\4. DT-96\images\sec_max_pen_T83.png</v>
      </c>
      <c r="AR84" s="19" t="str">
        <f t="shared" ca="1" si="41"/>
        <v>D:\1. Pozos\11. Noviembre\4. DT-96\images\sec_max_res_T83.png</v>
      </c>
      <c r="AS84" s="10" t="str">
        <f t="shared" ca="1" si="42"/>
        <v>D:\1. Pozos\11. Noviembre\4. DT-96\images\83.emf</v>
      </c>
      <c r="AT84" s="19" t="str">
        <f t="shared" ca="1" si="43"/>
        <v>D:\1. Pozos\11. Noviembre\4. DT-96\images\GraficaIntegradaT83.png</v>
      </c>
    </row>
    <row r="85" spans="1:46" x14ac:dyDescent="0.25">
      <c r="A85" s="10" t="str">
        <f t="shared" si="31"/>
        <v>Well-1</v>
      </c>
      <c r="B85" s="10" t="str">
        <f t="shared" si="32"/>
        <v>Exploratorio</v>
      </c>
      <c r="C85" s="10" t="str">
        <f t="shared" si="33"/>
        <v>Colombia</v>
      </c>
      <c r="D85" s="10" t="str">
        <f t="shared" si="34"/>
        <v>State</v>
      </c>
      <c r="E85" s="10" t="str">
        <f t="shared" si="35"/>
        <v>Ecopetrol</v>
      </c>
      <c r="F85" s="10" t="s">
        <v>246</v>
      </c>
      <c r="G85" s="16" t="str">
        <f t="shared" si="36"/>
        <v>24/5/2022</v>
      </c>
      <c r="H85" s="10">
        <v>7</v>
      </c>
      <c r="I85" s="10">
        <v>6.3659999999999997</v>
      </c>
      <c r="J85" s="10">
        <f t="shared" si="44"/>
        <v>0.31700000000000017</v>
      </c>
      <c r="K85" s="10">
        <v>84</v>
      </c>
      <c r="L85" s="21">
        <v>3347.2939999999999</v>
      </c>
      <c r="M85" s="21">
        <v>3387.69</v>
      </c>
      <c r="N85" s="13">
        <v>40.396000000000001</v>
      </c>
      <c r="O85" s="10">
        <v>6.3130002000000003</v>
      </c>
      <c r="P85" s="11">
        <v>3383.6001000000001</v>
      </c>
      <c r="Q85" s="12">
        <v>0.357500076</v>
      </c>
      <c r="R85" s="12">
        <v>6.6681270599999998</v>
      </c>
      <c r="S85" s="12">
        <v>3352.5</v>
      </c>
      <c r="T85" s="12">
        <v>0.30188942000000002</v>
      </c>
      <c r="U85" s="10">
        <v>6.5159997900000004</v>
      </c>
      <c r="V85" s="13">
        <v>3352.1999500000002</v>
      </c>
      <c r="W85" s="12">
        <v>0.24200010299999999</v>
      </c>
      <c r="X85" s="12">
        <v>23.659252200000001</v>
      </c>
      <c r="Y85" s="17" t="str">
        <f t="shared" si="45"/>
        <v>II</v>
      </c>
      <c r="Z85" s="17">
        <f t="shared" si="46"/>
        <v>23.659273501577331</v>
      </c>
      <c r="AA85" s="17">
        <f t="shared" si="47"/>
        <v>3.2155802878004014</v>
      </c>
      <c r="AB85" s="17">
        <f t="shared" si="48"/>
        <v>2.2669138043112991</v>
      </c>
      <c r="AC85" s="17">
        <f t="shared" si="49"/>
        <v>0.76340726498422673</v>
      </c>
      <c r="AD85" s="17">
        <f t="shared" si="50"/>
        <v>0.91165430978443507</v>
      </c>
      <c r="AE85" s="17">
        <f t="shared" si="51"/>
        <v>0.7</v>
      </c>
      <c r="AF85" s="17">
        <v>6340</v>
      </c>
      <c r="AG85" s="17">
        <v>3830</v>
      </c>
      <c r="AH85" s="17">
        <f t="shared" si="37"/>
        <v>2.5943603500000002E-2</v>
      </c>
      <c r="AI85" s="17">
        <f t="shared" si="52"/>
        <v>4840.0020599999971</v>
      </c>
      <c r="AJ85" s="17">
        <f t="shared" si="38"/>
        <v>2681</v>
      </c>
      <c r="AK85" s="17">
        <v>2.5943603500000001</v>
      </c>
      <c r="AL85" s="17">
        <v>3352.5</v>
      </c>
      <c r="AM85" s="20" t="str">
        <f t="shared" si="39"/>
        <v>II</v>
      </c>
      <c r="AN85" s="20"/>
      <c r="AO85" s="18">
        <f t="shared" si="53"/>
        <v>0.76340726498422673</v>
      </c>
      <c r="AP85" s="10" t="str">
        <f t="shared" si="54"/>
        <v>Daño del 15-25%</v>
      </c>
      <c r="AQ85" s="19" t="str">
        <f t="shared" ca="1" si="40"/>
        <v>D:\1. Pozos\11. Noviembre\4. DT-96\images\sec_max_pen_T84.png</v>
      </c>
      <c r="AR85" s="19" t="str">
        <f t="shared" ca="1" si="41"/>
        <v>D:\1. Pozos\11. Noviembre\4. DT-96\images\sec_max_res_T84.png</v>
      </c>
      <c r="AS85" s="10" t="str">
        <f t="shared" ca="1" si="42"/>
        <v>D:\1. Pozos\11. Noviembre\4. DT-96\images\84.emf</v>
      </c>
      <c r="AT85" s="19" t="str">
        <f t="shared" ca="1" si="43"/>
        <v>D:\1. Pozos\11. Noviembre\4. DT-96\images\GraficaIntegradaT84.png</v>
      </c>
    </row>
    <row r="86" spans="1:46" x14ac:dyDescent="0.25">
      <c r="A86" s="10" t="str">
        <f t="shared" si="31"/>
        <v>Well-1</v>
      </c>
      <c r="B86" s="10" t="str">
        <f t="shared" si="32"/>
        <v>Exploratorio</v>
      </c>
      <c r="C86" s="10" t="str">
        <f t="shared" si="33"/>
        <v>Colombia</v>
      </c>
      <c r="D86" s="10" t="str">
        <f t="shared" si="34"/>
        <v>State</v>
      </c>
      <c r="E86" s="10" t="str">
        <f t="shared" si="35"/>
        <v>Ecopetrol</v>
      </c>
      <c r="F86" s="10" t="s">
        <v>246</v>
      </c>
      <c r="G86" s="16" t="str">
        <f t="shared" si="36"/>
        <v>24/5/2022</v>
      </c>
      <c r="H86" s="10">
        <v>7</v>
      </c>
      <c r="I86" s="10">
        <v>6.3659999999999997</v>
      </c>
      <c r="J86" s="10">
        <f t="shared" si="44"/>
        <v>0.31700000000000017</v>
      </c>
      <c r="K86" s="10">
        <v>85</v>
      </c>
      <c r="L86" s="21">
        <v>3389.19</v>
      </c>
      <c r="M86" s="21">
        <v>3427.0770000000002</v>
      </c>
      <c r="N86" s="13">
        <v>37.886000000000003</v>
      </c>
      <c r="O86" s="10">
        <v>6.3375000999999997</v>
      </c>
      <c r="P86" s="11">
        <v>3389.1999500000002</v>
      </c>
      <c r="Q86" s="12">
        <v>0.34200000800000002</v>
      </c>
      <c r="R86" s="12">
        <v>5.8198890700000003</v>
      </c>
      <c r="S86" s="12">
        <v>3397.1999500000002</v>
      </c>
      <c r="T86" s="12">
        <v>0.30078768700000003</v>
      </c>
      <c r="U86" s="10">
        <v>6.4749999000000003</v>
      </c>
      <c r="V86" s="13">
        <v>3399.3000499999998</v>
      </c>
      <c r="W86" s="12">
        <v>0.26250004799999999</v>
      </c>
      <c r="X86" s="12">
        <v>17.192390400000001</v>
      </c>
      <c r="Y86" s="17" t="str">
        <f t="shared" si="45"/>
        <v>I</v>
      </c>
      <c r="Z86" s="17">
        <f t="shared" si="46"/>
        <v>17.192413880126232</v>
      </c>
      <c r="AA86" s="17">
        <f t="shared" si="47"/>
        <v>2.169622056495113</v>
      </c>
      <c r="AB86" s="17">
        <f t="shared" si="48"/>
        <v>1.5654778608997555</v>
      </c>
      <c r="AC86" s="17">
        <f t="shared" si="49"/>
        <v>0.82807586119873777</v>
      </c>
      <c r="AD86" s="17">
        <f t="shared" si="50"/>
        <v>0.94672610695501225</v>
      </c>
      <c r="AE86" s="17">
        <f t="shared" si="51"/>
        <v>0.78</v>
      </c>
      <c r="AF86" s="17">
        <v>6340</v>
      </c>
      <c r="AG86" s="17">
        <v>3830</v>
      </c>
      <c r="AH86" s="17">
        <f t="shared" si="37"/>
        <v>1.7165255500000001E-2</v>
      </c>
      <c r="AI86" s="17">
        <f t="shared" si="52"/>
        <v>5250.0009599999976</v>
      </c>
      <c r="AJ86" s="17">
        <f t="shared" si="38"/>
        <v>2987.4</v>
      </c>
      <c r="AK86" s="17">
        <v>1.7165255500000001</v>
      </c>
      <c r="AL86" s="17">
        <v>3401.1999500000002</v>
      </c>
      <c r="AM86" s="20" t="str">
        <f t="shared" si="39"/>
        <v>I</v>
      </c>
      <c r="AN86" s="20"/>
      <c r="AO86" s="18">
        <f t="shared" si="53"/>
        <v>0.82807586119873777</v>
      </c>
      <c r="AP86" s="10" t="str">
        <f t="shared" si="54"/>
        <v>Daño del 0-15%</v>
      </c>
      <c r="AQ86" s="19" t="str">
        <f t="shared" ca="1" si="40"/>
        <v>D:\1. Pozos\11. Noviembre\4. DT-96\images\sec_max_pen_T85.png</v>
      </c>
      <c r="AR86" s="19" t="str">
        <f t="shared" ca="1" si="41"/>
        <v>D:\1. Pozos\11. Noviembre\4. DT-96\images\sec_max_res_T85.png</v>
      </c>
      <c r="AS86" s="10" t="str">
        <f t="shared" ca="1" si="42"/>
        <v>D:\1. Pozos\11. Noviembre\4. DT-96\images\85.emf</v>
      </c>
      <c r="AT86" s="19" t="str">
        <f t="shared" ca="1" si="43"/>
        <v>D:\1. Pozos\11. Noviembre\4. DT-96\images\GraficaIntegradaT85.png</v>
      </c>
    </row>
    <row r="87" spans="1:46" x14ac:dyDescent="0.25">
      <c r="A87" s="10" t="str">
        <f t="shared" si="31"/>
        <v>Well-1</v>
      </c>
      <c r="B87" s="10" t="str">
        <f t="shared" si="32"/>
        <v>Exploratorio</v>
      </c>
      <c r="C87" s="10" t="str">
        <f t="shared" si="33"/>
        <v>Colombia</v>
      </c>
      <c r="D87" s="10" t="str">
        <f t="shared" si="34"/>
        <v>State</v>
      </c>
      <c r="E87" s="10" t="str">
        <f t="shared" si="35"/>
        <v>Ecopetrol</v>
      </c>
      <c r="F87" s="10" t="s">
        <v>246</v>
      </c>
      <c r="G87" s="16" t="str">
        <f t="shared" si="36"/>
        <v>24/5/2022</v>
      </c>
      <c r="H87" s="10">
        <v>7</v>
      </c>
      <c r="I87" s="10">
        <v>6.3659999999999997</v>
      </c>
      <c r="J87" s="10">
        <f t="shared" si="44"/>
        <v>0.31700000000000017</v>
      </c>
      <c r="K87" s="10">
        <v>86</v>
      </c>
      <c r="L87" s="21">
        <v>3428.5770000000002</v>
      </c>
      <c r="M87" s="21">
        <v>3467.7919999999999</v>
      </c>
      <c r="N87" s="13">
        <v>39.216000000000001</v>
      </c>
      <c r="O87" s="10">
        <v>6.2380003899999998</v>
      </c>
      <c r="P87" s="11">
        <v>3464.5</v>
      </c>
      <c r="Q87" s="12">
        <v>0.38649988200000002</v>
      </c>
      <c r="R87" s="12">
        <v>12.942970300000001</v>
      </c>
      <c r="S87" s="12">
        <v>3464.6001000000001</v>
      </c>
      <c r="T87" s="12">
        <v>0.30079746200000002</v>
      </c>
      <c r="U87" s="10">
        <v>6.8769998599999997</v>
      </c>
      <c r="V87" s="13">
        <v>3464.6001000000001</v>
      </c>
      <c r="W87" s="12">
        <v>6.1500072500000003E-2</v>
      </c>
      <c r="X87" s="12">
        <v>80.599342300000004</v>
      </c>
      <c r="Y87" s="17" t="str">
        <f t="shared" si="45"/>
        <v>V</v>
      </c>
      <c r="Z87" s="17">
        <f t="shared" si="46"/>
        <v>80.599346214511044</v>
      </c>
      <c r="AA87" s="17">
        <f t="shared" si="47"/>
        <v>10.243658705510272</v>
      </c>
      <c r="AB87" s="17">
        <f t="shared" si="48"/>
        <v>6.4075353560534065</v>
      </c>
      <c r="AC87" s="17">
        <f t="shared" si="49"/>
        <v>0.19400653785488955</v>
      </c>
      <c r="AD87" s="17">
        <f t="shared" si="50"/>
        <v>0.70462323219732959</v>
      </c>
      <c r="AE87" s="17">
        <f t="shared" si="51"/>
        <v>0.14000000000000001</v>
      </c>
      <c r="AF87" s="17">
        <v>6340</v>
      </c>
      <c r="AG87" s="17">
        <v>3830</v>
      </c>
      <c r="AH87" s="17">
        <f t="shared" si="37"/>
        <v>5.7002158200000007E-2</v>
      </c>
      <c r="AI87" s="17">
        <f t="shared" si="52"/>
        <v>1230.0014499999997</v>
      </c>
      <c r="AJ87" s="17">
        <f t="shared" si="38"/>
        <v>536.20000000000005</v>
      </c>
      <c r="AK87" s="17">
        <v>5.7002158200000004</v>
      </c>
      <c r="AL87" s="17">
        <v>3464.6001000000001</v>
      </c>
      <c r="AM87" s="20" t="str">
        <f t="shared" si="39"/>
        <v>III</v>
      </c>
      <c r="AN87" s="20" t="s">
        <v>423</v>
      </c>
      <c r="AO87" s="18">
        <f t="shared" si="53"/>
        <v>0.1940065378548895</v>
      </c>
      <c r="AP87" s="10" t="str">
        <f t="shared" si="54"/>
        <v>Daño del 50-100%</v>
      </c>
      <c r="AQ87" s="19" t="str">
        <f t="shared" ca="1" si="40"/>
        <v>D:\1. Pozos\11. Noviembre\4. DT-96\images\sec_max_pen_T86.png</v>
      </c>
      <c r="AR87" s="19" t="str">
        <f t="shared" ca="1" si="41"/>
        <v>D:\1. Pozos\11. Noviembre\4. DT-96\images\sec_max_res_T86.png</v>
      </c>
      <c r="AS87" s="10" t="str">
        <f t="shared" ca="1" si="42"/>
        <v>D:\1. Pozos\11. Noviembre\4. DT-96\images\86.emf</v>
      </c>
      <c r="AT87" s="19" t="str">
        <f t="shared" ca="1" si="43"/>
        <v>D:\1. Pozos\11. Noviembre\4. DT-96\images\GraficaIntegradaT86.png</v>
      </c>
    </row>
    <row r="88" spans="1:46" x14ac:dyDescent="0.25">
      <c r="A88" s="10" t="str">
        <f t="shared" si="31"/>
        <v>Well-1</v>
      </c>
      <c r="B88" s="10" t="str">
        <f t="shared" si="32"/>
        <v>Exploratorio</v>
      </c>
      <c r="C88" s="10" t="str">
        <f t="shared" si="33"/>
        <v>Colombia</v>
      </c>
      <c r="D88" s="10" t="str">
        <f t="shared" si="34"/>
        <v>State</v>
      </c>
      <c r="E88" s="10" t="str">
        <f t="shared" si="35"/>
        <v>Ecopetrol</v>
      </c>
      <c r="F88" s="10" t="s">
        <v>246</v>
      </c>
      <c r="G88" s="16" t="str">
        <f t="shared" si="36"/>
        <v>24/5/2022</v>
      </c>
      <c r="H88" s="10">
        <v>7</v>
      </c>
      <c r="I88" s="10">
        <v>6.3659999999999997</v>
      </c>
      <c r="J88" s="10">
        <f t="shared" si="44"/>
        <v>0.31700000000000017</v>
      </c>
      <c r="K88" s="10">
        <v>87</v>
      </c>
      <c r="L88" s="21">
        <v>3469.8939999999998</v>
      </c>
      <c r="M88" s="21">
        <v>3508.1660000000002</v>
      </c>
      <c r="N88" s="13">
        <v>38.273000000000003</v>
      </c>
      <c r="O88" s="10">
        <v>6.2975001300000004</v>
      </c>
      <c r="P88" s="11">
        <v>3471.8998999999999</v>
      </c>
      <c r="Q88" s="12">
        <v>0.36249995200000001</v>
      </c>
      <c r="R88" s="12">
        <v>7.6690044400000001</v>
      </c>
      <c r="S88" s="12">
        <v>3469.8998999999999</v>
      </c>
      <c r="T88" s="12">
        <v>0.29999256099999999</v>
      </c>
      <c r="U88" s="10">
        <v>6.7750000999999997</v>
      </c>
      <c r="V88" s="13">
        <v>3469.8998999999999</v>
      </c>
      <c r="W88" s="12">
        <v>0.112499952</v>
      </c>
      <c r="X88" s="12">
        <v>64.511047399999995</v>
      </c>
      <c r="Y88" s="17" t="str">
        <f t="shared" si="45"/>
        <v>IV</v>
      </c>
      <c r="Z88" s="17">
        <f t="shared" si="46"/>
        <v>64.511056151419581</v>
      </c>
      <c r="AA88" s="17">
        <f t="shared" si="47"/>
        <v>7.5823733250165004</v>
      </c>
      <c r="AB88" s="17">
        <f t="shared" si="48"/>
        <v>4.6051187775044911</v>
      </c>
      <c r="AC88" s="17">
        <f t="shared" si="49"/>
        <v>0.35488943848580418</v>
      </c>
      <c r="AD88" s="17">
        <f t="shared" si="50"/>
        <v>0.79474406112477547</v>
      </c>
      <c r="AE88" s="17">
        <f t="shared" si="51"/>
        <v>0.28000000000000003</v>
      </c>
      <c r="AF88" s="17">
        <v>6340</v>
      </c>
      <c r="AG88" s="17">
        <v>3830</v>
      </c>
      <c r="AH88" s="17">
        <f t="shared" si="37"/>
        <v>2.6383168700000001E-2</v>
      </c>
      <c r="AI88" s="17">
        <f t="shared" si="52"/>
        <v>2249.9990399999983</v>
      </c>
      <c r="AJ88" s="17">
        <f t="shared" si="38"/>
        <v>1072.4000000000001</v>
      </c>
      <c r="AK88" s="17">
        <v>2.6383168700000001</v>
      </c>
      <c r="AL88" s="17">
        <v>3474.6001000000001</v>
      </c>
      <c r="AM88" s="20" t="str">
        <f t="shared" si="39"/>
        <v>II</v>
      </c>
      <c r="AN88" s="20" t="s">
        <v>423</v>
      </c>
      <c r="AO88" s="18">
        <f t="shared" si="53"/>
        <v>0.35488943848580429</v>
      </c>
      <c r="AP88" s="10" t="str">
        <f t="shared" si="54"/>
        <v>Daño del 50-100%</v>
      </c>
      <c r="AQ88" s="19" t="str">
        <f t="shared" ca="1" si="40"/>
        <v>D:\1. Pozos\11. Noviembre\4. DT-96\images\sec_max_pen_T87.png</v>
      </c>
      <c r="AR88" s="19" t="str">
        <f t="shared" ca="1" si="41"/>
        <v>D:\1. Pozos\11. Noviembre\4. DT-96\images\sec_max_res_T87.png</v>
      </c>
      <c r="AS88" s="10" t="str">
        <f t="shared" ca="1" si="42"/>
        <v>D:\1. Pozos\11. Noviembre\4. DT-96\images\87.emf</v>
      </c>
      <c r="AT88" s="19" t="str">
        <f t="shared" ca="1" si="43"/>
        <v>D:\1. Pozos\11. Noviembre\4. DT-96\images\GraficaIntegradaT87.png</v>
      </c>
    </row>
    <row r="89" spans="1:46" x14ac:dyDescent="0.25">
      <c r="A89" s="10" t="str">
        <f t="shared" si="31"/>
        <v>Well-1</v>
      </c>
      <c r="B89" s="10" t="str">
        <f t="shared" si="32"/>
        <v>Exploratorio</v>
      </c>
      <c r="C89" s="10" t="str">
        <f t="shared" si="33"/>
        <v>Colombia</v>
      </c>
      <c r="D89" s="10" t="str">
        <f t="shared" si="34"/>
        <v>State</v>
      </c>
      <c r="E89" s="10" t="str">
        <f t="shared" si="35"/>
        <v>Ecopetrol</v>
      </c>
      <c r="F89" s="10" t="s">
        <v>246</v>
      </c>
      <c r="G89" s="16" t="str">
        <f t="shared" si="36"/>
        <v>24/5/2022</v>
      </c>
      <c r="H89" s="10">
        <v>7</v>
      </c>
      <c r="I89" s="10">
        <v>6.3659999999999997</v>
      </c>
      <c r="J89" s="10">
        <f t="shared" si="44"/>
        <v>0.31700000000000017</v>
      </c>
      <c r="K89" s="10">
        <v>88</v>
      </c>
      <c r="L89" s="21">
        <v>3509.6660000000002</v>
      </c>
      <c r="M89" s="21">
        <v>3547.9169999999999</v>
      </c>
      <c r="N89" s="13">
        <v>38.25</v>
      </c>
      <c r="O89" s="10">
        <v>6.3225002300000002</v>
      </c>
      <c r="P89" s="11">
        <v>3547.8000499999998</v>
      </c>
      <c r="Q89" s="12">
        <v>0.34450006500000002</v>
      </c>
      <c r="R89" s="12">
        <v>12.8998241</v>
      </c>
      <c r="S89" s="12">
        <v>3509.6999500000002</v>
      </c>
      <c r="T89" s="12">
        <v>0.30014991800000002</v>
      </c>
      <c r="U89" s="10">
        <v>6.4759998300000001</v>
      </c>
      <c r="V89" s="13">
        <v>3543.5</v>
      </c>
      <c r="W89" s="12">
        <v>0.26200008400000002</v>
      </c>
      <c r="X89" s="12">
        <v>17.350109100000001</v>
      </c>
      <c r="Y89" s="17" t="str">
        <f t="shared" si="45"/>
        <v>I</v>
      </c>
      <c r="Z89" s="17">
        <f t="shared" si="46"/>
        <v>17.350131230283949</v>
      </c>
      <c r="AA89" s="17">
        <f t="shared" si="47"/>
        <v>2.4278306748278355</v>
      </c>
      <c r="AB89" s="17">
        <f t="shared" si="48"/>
        <v>1.8244327687434447</v>
      </c>
      <c r="AC89" s="17">
        <f t="shared" si="49"/>
        <v>0.82649868769716051</v>
      </c>
      <c r="AD89" s="17">
        <f t="shared" si="50"/>
        <v>0.93377836156282779</v>
      </c>
      <c r="AE89" s="17">
        <f t="shared" si="51"/>
        <v>0.77</v>
      </c>
      <c r="AF89" s="17">
        <v>6340</v>
      </c>
      <c r="AG89" s="17">
        <v>3830</v>
      </c>
      <c r="AH89" s="17">
        <f t="shared" si="37"/>
        <v>1.8492215900000001E-2</v>
      </c>
      <c r="AI89" s="17">
        <f t="shared" si="52"/>
        <v>5240.0016799999976</v>
      </c>
      <c r="AJ89" s="17">
        <f t="shared" si="38"/>
        <v>2949.1</v>
      </c>
      <c r="AK89" s="17">
        <v>1.84922159</v>
      </c>
      <c r="AL89" s="17">
        <v>3547.6999500000002</v>
      </c>
      <c r="AM89" s="20" t="str">
        <f t="shared" si="39"/>
        <v>I</v>
      </c>
      <c r="AN89" s="20"/>
      <c r="AO89" s="18">
        <f t="shared" si="53"/>
        <v>0.82649868769716051</v>
      </c>
      <c r="AP89" s="10" t="str">
        <f t="shared" si="54"/>
        <v>Daño del 0-15%</v>
      </c>
      <c r="AQ89" s="19" t="str">
        <f t="shared" ca="1" si="40"/>
        <v>D:\1. Pozos\11. Noviembre\4. DT-96\images\sec_max_pen_T88.png</v>
      </c>
      <c r="AR89" s="19" t="str">
        <f t="shared" ca="1" si="41"/>
        <v>D:\1. Pozos\11. Noviembre\4. DT-96\images\sec_max_res_T88.png</v>
      </c>
      <c r="AS89" s="10" t="str">
        <f t="shared" ca="1" si="42"/>
        <v>D:\1. Pozos\11. Noviembre\4. DT-96\images\88.emf</v>
      </c>
      <c r="AT89" s="19" t="str">
        <f t="shared" ca="1" si="43"/>
        <v>D:\1. Pozos\11. Noviembre\4. DT-96\images\GraficaIntegradaT88.png</v>
      </c>
    </row>
    <row r="90" spans="1:46" x14ac:dyDescent="0.25">
      <c r="A90" s="10" t="str">
        <f t="shared" si="31"/>
        <v>Well-1</v>
      </c>
      <c r="B90" s="10" t="str">
        <f t="shared" si="32"/>
        <v>Exploratorio</v>
      </c>
      <c r="C90" s="10" t="str">
        <f t="shared" si="33"/>
        <v>Colombia</v>
      </c>
      <c r="D90" s="10" t="str">
        <f t="shared" si="34"/>
        <v>State</v>
      </c>
      <c r="E90" s="10" t="str">
        <f t="shared" si="35"/>
        <v>Ecopetrol</v>
      </c>
      <c r="F90" s="10" t="s">
        <v>246</v>
      </c>
      <c r="G90" s="16" t="str">
        <f t="shared" si="36"/>
        <v>24/5/2022</v>
      </c>
      <c r="H90" s="10">
        <v>7</v>
      </c>
      <c r="I90" s="10">
        <v>6.3659999999999997</v>
      </c>
      <c r="J90" s="10">
        <f t="shared" si="44"/>
        <v>0.31700000000000017</v>
      </c>
      <c r="K90" s="10">
        <v>89</v>
      </c>
      <c r="L90" s="21">
        <v>3550.018</v>
      </c>
      <c r="M90" s="21">
        <v>3587.9050000000002</v>
      </c>
      <c r="N90" s="13">
        <v>37.886000000000003</v>
      </c>
      <c r="O90" s="10">
        <v>6.30200052</v>
      </c>
      <c r="P90" s="11">
        <v>3558.6999500000002</v>
      </c>
      <c r="Q90" s="12">
        <v>0.36750006699999999</v>
      </c>
      <c r="R90" s="12">
        <v>9.6316270799999995</v>
      </c>
      <c r="S90" s="12">
        <v>3556.3998999999999</v>
      </c>
      <c r="T90" s="12">
        <v>0.291482925</v>
      </c>
      <c r="U90" s="10">
        <v>6.5289998100000002</v>
      </c>
      <c r="V90" s="13">
        <v>3558.3000499999998</v>
      </c>
      <c r="W90" s="12">
        <v>0.23550009699999999</v>
      </c>
      <c r="X90" s="12">
        <v>25.709728200000001</v>
      </c>
      <c r="Y90" s="17" t="str">
        <f t="shared" si="45"/>
        <v>II</v>
      </c>
      <c r="Z90" s="17">
        <f t="shared" si="46"/>
        <v>25.709748580441683</v>
      </c>
      <c r="AA90" s="17">
        <f t="shared" si="47"/>
        <v>3.6020195377578279</v>
      </c>
      <c r="AB90" s="17">
        <f t="shared" si="48"/>
        <v>2.7136853044880338</v>
      </c>
      <c r="AC90" s="17">
        <f t="shared" si="49"/>
        <v>0.74290251419558317</v>
      </c>
      <c r="AD90" s="17">
        <f t="shared" si="50"/>
        <v>0.88931573477559833</v>
      </c>
      <c r="AE90" s="17">
        <f t="shared" si="51"/>
        <v>0.66</v>
      </c>
      <c r="AF90" s="17">
        <v>6340</v>
      </c>
      <c r="AG90" s="17">
        <v>3830</v>
      </c>
      <c r="AH90" s="17">
        <f t="shared" si="37"/>
        <v>2.6853325400000003E-2</v>
      </c>
      <c r="AI90" s="17">
        <f t="shared" si="52"/>
        <v>4710.0019399999974</v>
      </c>
      <c r="AJ90" s="17">
        <f t="shared" si="38"/>
        <v>2527.8000000000002</v>
      </c>
      <c r="AK90" s="17">
        <v>2.6853325400000001</v>
      </c>
      <c r="AL90" s="17">
        <v>3556.5</v>
      </c>
      <c r="AM90" s="20" t="str">
        <f t="shared" si="39"/>
        <v>II</v>
      </c>
      <c r="AN90" s="20"/>
      <c r="AO90" s="18">
        <f t="shared" si="53"/>
        <v>0.74290251419558317</v>
      </c>
      <c r="AP90" s="10" t="str">
        <f t="shared" si="54"/>
        <v>Daño del 15-25%</v>
      </c>
      <c r="AQ90" s="19" t="str">
        <f t="shared" ca="1" si="40"/>
        <v>D:\1. Pozos\11. Noviembre\4. DT-96\images\sec_max_pen_T89.png</v>
      </c>
      <c r="AR90" s="19" t="str">
        <f t="shared" ca="1" si="41"/>
        <v>D:\1. Pozos\11. Noviembre\4. DT-96\images\sec_max_res_T89.png</v>
      </c>
      <c r="AS90" s="10" t="str">
        <f t="shared" ca="1" si="42"/>
        <v>D:\1. Pozos\11. Noviembre\4. DT-96\images\89.emf</v>
      </c>
      <c r="AT90" s="19" t="str">
        <f t="shared" ca="1" si="43"/>
        <v>D:\1. Pozos\11. Noviembre\4. DT-96\images\GraficaIntegradaT89.png</v>
      </c>
    </row>
    <row r="91" spans="1:46" x14ac:dyDescent="0.25">
      <c r="A91" s="10" t="str">
        <f t="shared" si="31"/>
        <v>Well-1</v>
      </c>
      <c r="B91" s="10" t="str">
        <f t="shared" si="32"/>
        <v>Exploratorio</v>
      </c>
      <c r="C91" s="10" t="str">
        <f t="shared" si="33"/>
        <v>Colombia</v>
      </c>
      <c r="D91" s="10" t="str">
        <f t="shared" si="34"/>
        <v>State</v>
      </c>
      <c r="E91" s="10" t="str">
        <f t="shared" si="35"/>
        <v>Ecopetrol</v>
      </c>
      <c r="F91" s="10" t="s">
        <v>246</v>
      </c>
      <c r="G91" s="16" t="str">
        <f t="shared" si="36"/>
        <v>24/5/2022</v>
      </c>
      <c r="H91" s="10">
        <v>7</v>
      </c>
      <c r="I91" s="10">
        <v>6.3659999999999997</v>
      </c>
      <c r="J91" s="10">
        <f t="shared" si="44"/>
        <v>0.31700000000000017</v>
      </c>
      <c r="K91" s="10">
        <v>90</v>
      </c>
      <c r="L91" s="21">
        <v>3589.4050000000002</v>
      </c>
      <c r="M91" s="21">
        <v>3626.69</v>
      </c>
      <c r="N91" s="13">
        <v>37.284999999999997</v>
      </c>
      <c r="O91" s="10">
        <v>6.3165001900000002</v>
      </c>
      <c r="P91" s="11">
        <v>3601.1001000000001</v>
      </c>
      <c r="Q91" s="12">
        <v>0.35199999799999998</v>
      </c>
      <c r="R91" s="12">
        <v>10.023744600000001</v>
      </c>
      <c r="S91" s="12">
        <v>3614</v>
      </c>
      <c r="T91" s="12">
        <v>0.297343731</v>
      </c>
      <c r="U91" s="10">
        <v>6.6659998900000001</v>
      </c>
      <c r="V91" s="13">
        <v>3614</v>
      </c>
      <c r="W91" s="12">
        <v>0.16700005500000001</v>
      </c>
      <c r="X91" s="12">
        <v>47.318580599999997</v>
      </c>
      <c r="Y91" s="17" t="str">
        <f t="shared" si="45"/>
        <v>III</v>
      </c>
      <c r="Z91" s="17">
        <f t="shared" si="46"/>
        <v>47.318594637223995</v>
      </c>
      <c r="AA91" s="17">
        <f t="shared" si="47"/>
        <v>5.5331226072519168</v>
      </c>
      <c r="AB91" s="17">
        <f t="shared" si="48"/>
        <v>3.469579947879331</v>
      </c>
      <c r="AC91" s="17">
        <f t="shared" si="49"/>
        <v>0.52681405362776001</v>
      </c>
      <c r="AD91" s="17">
        <f t="shared" si="50"/>
        <v>0.85152100260603347</v>
      </c>
      <c r="AE91" s="17">
        <f t="shared" si="51"/>
        <v>0.45</v>
      </c>
      <c r="AF91" s="17">
        <v>6340</v>
      </c>
      <c r="AG91" s="17">
        <v>3830</v>
      </c>
      <c r="AH91" s="17">
        <f t="shared" si="37"/>
        <v>2.33809686E-2</v>
      </c>
      <c r="AI91" s="17">
        <f t="shared" si="52"/>
        <v>3340.0010999999986</v>
      </c>
      <c r="AJ91" s="17">
        <f t="shared" si="38"/>
        <v>1723.5</v>
      </c>
      <c r="AK91" s="17">
        <v>2.3380968599999998</v>
      </c>
      <c r="AL91" s="17">
        <v>3595.5</v>
      </c>
      <c r="AM91" s="20" t="str">
        <f t="shared" si="39"/>
        <v>II</v>
      </c>
      <c r="AN91" s="20" t="s">
        <v>423</v>
      </c>
      <c r="AO91" s="18">
        <f t="shared" si="53"/>
        <v>0.52681405362776001</v>
      </c>
      <c r="AP91" s="10" t="str">
        <f t="shared" si="54"/>
        <v>Daño del 25-50%</v>
      </c>
      <c r="AQ91" s="19" t="str">
        <f t="shared" ca="1" si="40"/>
        <v>D:\1. Pozos\11. Noviembre\4. DT-96\images\sec_max_pen_T90.png</v>
      </c>
      <c r="AR91" s="19" t="str">
        <f t="shared" ca="1" si="41"/>
        <v>D:\1. Pozos\11. Noviembre\4. DT-96\images\sec_max_res_T90.png</v>
      </c>
      <c r="AS91" s="10" t="str">
        <f t="shared" ca="1" si="42"/>
        <v>D:\1. Pozos\11. Noviembre\4. DT-96\images\90.emf</v>
      </c>
      <c r="AT91" s="19" t="str">
        <f t="shared" ca="1" si="43"/>
        <v>D:\1. Pozos\11. Noviembre\4. DT-96\images\GraficaIntegradaT90.png</v>
      </c>
    </row>
    <row r="92" spans="1:46" x14ac:dyDescent="0.25">
      <c r="A92" s="10" t="str">
        <f t="shared" si="31"/>
        <v>Well-1</v>
      </c>
      <c r="B92" s="10" t="str">
        <f t="shared" si="32"/>
        <v>Exploratorio</v>
      </c>
      <c r="C92" s="10" t="str">
        <f t="shared" si="33"/>
        <v>Colombia</v>
      </c>
      <c r="D92" s="10" t="str">
        <f t="shared" si="34"/>
        <v>State</v>
      </c>
      <c r="E92" s="10" t="str">
        <f t="shared" si="35"/>
        <v>Ecopetrol</v>
      </c>
      <c r="F92" s="10" t="s">
        <v>246</v>
      </c>
      <c r="G92" s="16" t="str">
        <f t="shared" si="36"/>
        <v>24/5/2022</v>
      </c>
      <c r="H92" s="10">
        <v>7</v>
      </c>
      <c r="I92" s="10">
        <v>6.3659999999999997</v>
      </c>
      <c r="J92" s="10">
        <f t="shared" si="44"/>
        <v>0.31700000000000017</v>
      </c>
      <c r="K92" s="10">
        <v>91</v>
      </c>
      <c r="L92" s="21">
        <v>3628.598</v>
      </c>
      <c r="M92" s="21">
        <v>3665.9050000000002</v>
      </c>
      <c r="N92" s="13">
        <v>37.307000000000002</v>
      </c>
      <c r="O92" s="10">
        <v>6.3335003900000002</v>
      </c>
      <c r="P92" s="11">
        <v>3633.6001000000001</v>
      </c>
      <c r="Q92" s="12">
        <v>0.36199998900000002</v>
      </c>
      <c r="R92" s="12">
        <v>10.839100800000001</v>
      </c>
      <c r="S92" s="12">
        <v>3665.8998999999999</v>
      </c>
      <c r="T92" s="12">
        <v>0.30095577200000001</v>
      </c>
      <c r="U92" s="10">
        <v>6.7249999000000003</v>
      </c>
      <c r="V92" s="13">
        <v>3632.3000499999998</v>
      </c>
      <c r="W92" s="12">
        <v>0.13750004800000001</v>
      </c>
      <c r="X92" s="12">
        <v>56.624576599999997</v>
      </c>
      <c r="Y92" s="17" t="str">
        <f t="shared" si="45"/>
        <v>III</v>
      </c>
      <c r="Z92" s="17">
        <f t="shared" si="46"/>
        <v>56.624590536277623</v>
      </c>
      <c r="AA92" s="17">
        <f t="shared" si="47"/>
        <v>6.1814081612458827</v>
      </c>
      <c r="AB92" s="17">
        <f t="shared" si="48"/>
        <v>3.6005963836373889</v>
      </c>
      <c r="AC92" s="17">
        <f t="shared" si="49"/>
        <v>0.43375409463722375</v>
      </c>
      <c r="AD92" s="17">
        <f t="shared" si="50"/>
        <v>0.84497018081813058</v>
      </c>
      <c r="AE92" s="17">
        <f t="shared" si="51"/>
        <v>0.37</v>
      </c>
      <c r="AF92" s="17">
        <v>6340</v>
      </c>
      <c r="AG92" s="17">
        <v>3830</v>
      </c>
      <c r="AH92" s="17">
        <f t="shared" si="37"/>
        <v>1.6859927199999999E-2</v>
      </c>
      <c r="AI92" s="17">
        <f t="shared" si="52"/>
        <v>2750.0009599999985</v>
      </c>
      <c r="AJ92" s="17">
        <f t="shared" si="38"/>
        <v>1417.1</v>
      </c>
      <c r="AK92" s="17">
        <v>1.68599272</v>
      </c>
      <c r="AL92" s="17">
        <v>3633.8000499999998</v>
      </c>
      <c r="AM92" s="20" t="str">
        <f t="shared" si="39"/>
        <v>I</v>
      </c>
      <c r="AN92" s="20" t="s">
        <v>423</v>
      </c>
      <c r="AO92" s="18">
        <f t="shared" si="53"/>
        <v>0.43375409463722375</v>
      </c>
      <c r="AP92" s="10" t="str">
        <f t="shared" si="54"/>
        <v>Daño del 25-50%</v>
      </c>
      <c r="AQ92" s="19" t="str">
        <f t="shared" ca="1" si="40"/>
        <v>D:\1. Pozos\11. Noviembre\4. DT-96\images\sec_max_pen_T91.png</v>
      </c>
      <c r="AR92" s="19" t="str">
        <f t="shared" ca="1" si="41"/>
        <v>D:\1. Pozos\11. Noviembre\4. DT-96\images\sec_max_res_T91.png</v>
      </c>
      <c r="AS92" s="10" t="str">
        <f t="shared" ca="1" si="42"/>
        <v>D:\1. Pozos\11. Noviembre\4. DT-96\images\91.emf</v>
      </c>
      <c r="AT92" s="19" t="str">
        <f t="shared" ca="1" si="43"/>
        <v>D:\1. Pozos\11. Noviembre\4. DT-96\images\GraficaIntegradaT91.png</v>
      </c>
    </row>
    <row r="93" spans="1:46" x14ac:dyDescent="0.25">
      <c r="A93" s="10" t="str">
        <f t="shared" si="31"/>
        <v>Well-1</v>
      </c>
      <c r="B93" s="10" t="str">
        <f t="shared" si="32"/>
        <v>Exploratorio</v>
      </c>
      <c r="C93" s="10" t="str">
        <f t="shared" si="33"/>
        <v>Colombia</v>
      </c>
      <c r="D93" s="10" t="str">
        <f t="shared" si="34"/>
        <v>State</v>
      </c>
      <c r="E93" s="10" t="str">
        <f t="shared" si="35"/>
        <v>Ecopetrol</v>
      </c>
      <c r="F93" s="10" t="s">
        <v>246</v>
      </c>
      <c r="G93" s="16" t="str">
        <f t="shared" si="36"/>
        <v>24/5/2022</v>
      </c>
      <c r="H93" s="10">
        <v>7</v>
      </c>
      <c r="I93" s="10">
        <v>6.3659999999999997</v>
      </c>
      <c r="J93" s="10">
        <f t="shared" si="44"/>
        <v>0.31700000000000017</v>
      </c>
      <c r="K93" s="10">
        <v>92</v>
      </c>
      <c r="L93" s="21">
        <v>3667.4050000000002</v>
      </c>
      <c r="M93" s="21">
        <v>3706.0419999999999</v>
      </c>
      <c r="N93" s="13">
        <v>38.636000000000003</v>
      </c>
      <c r="O93" s="10">
        <v>6.3370003700000002</v>
      </c>
      <c r="P93" s="11">
        <v>3689.6999500000002</v>
      </c>
      <c r="Q93" s="12">
        <v>0.33800005900000002</v>
      </c>
      <c r="R93" s="12">
        <v>7.1692390399999999</v>
      </c>
      <c r="S93" s="12">
        <v>3705.3000499999998</v>
      </c>
      <c r="T93" s="12">
        <v>0.30026888800000001</v>
      </c>
      <c r="U93" s="10">
        <v>6.4809999500000002</v>
      </c>
      <c r="V93" s="13">
        <v>3693.6001000000001</v>
      </c>
      <c r="W93" s="12">
        <v>0.25950002700000002</v>
      </c>
      <c r="X93" s="12">
        <v>18.1387711</v>
      </c>
      <c r="Y93" s="17" t="str">
        <f t="shared" si="45"/>
        <v>I</v>
      </c>
      <c r="Z93" s="17">
        <f t="shared" si="46"/>
        <v>18.138792744479531</v>
      </c>
      <c r="AA93" s="17">
        <f t="shared" si="47"/>
        <v>2.2723618682698676</v>
      </c>
      <c r="AB93" s="17">
        <f t="shared" si="48"/>
        <v>1.6290155116402527</v>
      </c>
      <c r="AC93" s="17">
        <f t="shared" si="49"/>
        <v>0.81861207255520474</v>
      </c>
      <c r="AD93" s="17">
        <f t="shared" si="50"/>
        <v>0.94354922441798739</v>
      </c>
      <c r="AE93" s="17">
        <f t="shared" si="51"/>
        <v>0.77</v>
      </c>
      <c r="AF93" s="17">
        <v>6340</v>
      </c>
      <c r="AG93" s="17">
        <v>3830</v>
      </c>
      <c r="AH93" s="17">
        <f t="shared" si="37"/>
        <v>1.79300594E-2</v>
      </c>
      <c r="AI93" s="17">
        <f t="shared" si="52"/>
        <v>5190.0005399999982</v>
      </c>
      <c r="AJ93" s="17">
        <f t="shared" si="38"/>
        <v>2949.1</v>
      </c>
      <c r="AK93" s="17">
        <v>1.79300594</v>
      </c>
      <c r="AL93" s="17">
        <v>3693.1999500000002</v>
      </c>
      <c r="AM93" s="20" t="str">
        <f t="shared" si="39"/>
        <v>I</v>
      </c>
      <c r="AN93" s="20"/>
      <c r="AO93" s="18">
        <f t="shared" si="53"/>
        <v>0.81861207255520474</v>
      </c>
      <c r="AP93" s="10" t="str">
        <f t="shared" si="54"/>
        <v>Daño del 0-15%</v>
      </c>
      <c r="AQ93" s="19" t="str">
        <f t="shared" ca="1" si="40"/>
        <v>D:\1. Pozos\11. Noviembre\4. DT-96\images\sec_max_pen_T92.png</v>
      </c>
      <c r="AR93" s="19" t="str">
        <f t="shared" ca="1" si="41"/>
        <v>D:\1. Pozos\11. Noviembre\4. DT-96\images\sec_max_res_T92.png</v>
      </c>
      <c r="AS93" s="10" t="str">
        <f t="shared" ca="1" si="42"/>
        <v>D:\1. Pozos\11. Noviembre\4. DT-96\images\92.emf</v>
      </c>
      <c r="AT93" s="19" t="str">
        <f t="shared" ca="1" si="43"/>
        <v>D:\1. Pozos\11. Noviembre\4. DT-96\images\GraficaIntegradaT92.png</v>
      </c>
    </row>
    <row r="94" spans="1:46" x14ac:dyDescent="0.25">
      <c r="A94" s="10" t="str">
        <f t="shared" si="31"/>
        <v>Well-1</v>
      </c>
      <c r="B94" s="10" t="str">
        <f t="shared" si="32"/>
        <v>Exploratorio</v>
      </c>
      <c r="C94" s="10" t="str">
        <f t="shared" si="33"/>
        <v>Colombia</v>
      </c>
      <c r="D94" s="10" t="str">
        <f t="shared" si="34"/>
        <v>State</v>
      </c>
      <c r="E94" s="10" t="str">
        <f t="shared" si="35"/>
        <v>Ecopetrol</v>
      </c>
      <c r="F94" s="10" t="s">
        <v>246</v>
      </c>
      <c r="G94" s="16" t="str">
        <f t="shared" si="36"/>
        <v>24/5/2022</v>
      </c>
      <c r="H94" s="10">
        <v>7</v>
      </c>
      <c r="I94" s="10">
        <v>6.3659999999999997</v>
      </c>
      <c r="J94" s="10">
        <f t="shared" si="44"/>
        <v>0.31700000000000017</v>
      </c>
      <c r="K94" s="10">
        <v>93</v>
      </c>
      <c r="L94" s="21">
        <v>3707.95</v>
      </c>
      <c r="M94" s="21">
        <v>3746.223</v>
      </c>
      <c r="N94" s="13">
        <v>38.273000000000003</v>
      </c>
      <c r="O94" s="10">
        <v>6.3285002700000001</v>
      </c>
      <c r="P94" s="11">
        <v>3708.1999500000002</v>
      </c>
      <c r="Q94" s="12">
        <v>0.34450006500000002</v>
      </c>
      <c r="R94" s="12">
        <v>7.6228265799999999</v>
      </c>
      <c r="S94" s="12">
        <v>3746.1999500000002</v>
      </c>
      <c r="T94" s="12">
        <v>0.30294990500000002</v>
      </c>
      <c r="U94" s="10">
        <v>6.4739999800000003</v>
      </c>
      <c r="V94" s="13">
        <v>3724.5</v>
      </c>
      <c r="W94" s="12">
        <v>0.26300001099999998</v>
      </c>
      <c r="X94" s="12">
        <v>17.034673699999999</v>
      </c>
      <c r="Y94" s="17" t="str">
        <f t="shared" si="45"/>
        <v>I</v>
      </c>
      <c r="Z94" s="17">
        <f t="shared" si="46"/>
        <v>17.03469684542592</v>
      </c>
      <c r="AA94" s="17">
        <f t="shared" si="47"/>
        <v>2.2991183343980426</v>
      </c>
      <c r="AB94" s="17">
        <f t="shared" si="48"/>
        <v>1.6678488029834515</v>
      </c>
      <c r="AC94" s="17">
        <f t="shared" si="49"/>
        <v>0.82965303154574088</v>
      </c>
      <c r="AD94" s="17">
        <f t="shared" si="50"/>
        <v>0.94160755985082745</v>
      </c>
      <c r="AE94" s="17">
        <f t="shared" si="51"/>
        <v>0.78</v>
      </c>
      <c r="AF94" s="17">
        <v>6340</v>
      </c>
      <c r="AG94" s="17">
        <v>3830</v>
      </c>
      <c r="AH94" s="17">
        <f t="shared" si="37"/>
        <v>1.87289226E-2</v>
      </c>
      <c r="AI94" s="17">
        <f t="shared" si="52"/>
        <v>5260.0002199999972</v>
      </c>
      <c r="AJ94" s="17">
        <f t="shared" si="38"/>
        <v>2987.4</v>
      </c>
      <c r="AK94" s="17">
        <v>1.87289226</v>
      </c>
      <c r="AL94" s="17">
        <v>3708.1999500000002</v>
      </c>
      <c r="AM94" s="20" t="str">
        <f t="shared" si="39"/>
        <v>I</v>
      </c>
      <c r="AN94" s="20"/>
      <c r="AO94" s="18">
        <f t="shared" si="53"/>
        <v>0.82965303154574088</v>
      </c>
      <c r="AP94" s="10" t="str">
        <f t="shared" si="54"/>
        <v>Daño del 0-15%</v>
      </c>
      <c r="AQ94" s="19" t="str">
        <f t="shared" ca="1" si="40"/>
        <v>D:\1. Pozos\11. Noviembre\4. DT-96\images\sec_max_pen_T93.png</v>
      </c>
      <c r="AR94" s="19" t="str">
        <f t="shared" ca="1" si="41"/>
        <v>D:\1. Pozos\11. Noviembre\4. DT-96\images\sec_max_res_T93.png</v>
      </c>
      <c r="AS94" s="10" t="str">
        <f t="shared" ca="1" si="42"/>
        <v>D:\1. Pozos\11. Noviembre\4. DT-96\images\93.emf</v>
      </c>
      <c r="AT94" s="19" t="str">
        <f t="shared" ca="1" si="43"/>
        <v>D:\1. Pozos\11. Noviembre\4. DT-96\images\GraficaIntegradaT93.png</v>
      </c>
    </row>
    <row r="95" spans="1:46" x14ac:dyDescent="0.25">
      <c r="A95" s="10" t="str">
        <f t="shared" si="31"/>
        <v>Well-1</v>
      </c>
      <c r="B95" s="10" t="str">
        <f t="shared" si="32"/>
        <v>Exploratorio</v>
      </c>
      <c r="C95" s="10" t="str">
        <f t="shared" si="33"/>
        <v>Colombia</v>
      </c>
      <c r="D95" s="10" t="str">
        <f t="shared" si="34"/>
        <v>State</v>
      </c>
      <c r="E95" s="10" t="str">
        <f t="shared" si="35"/>
        <v>Ecopetrol</v>
      </c>
      <c r="F95" s="10" t="s">
        <v>246</v>
      </c>
      <c r="G95" s="16" t="str">
        <f t="shared" si="36"/>
        <v>24/5/2022</v>
      </c>
      <c r="H95" s="10">
        <v>7</v>
      </c>
      <c r="I95" s="10">
        <v>6.3659999999999997</v>
      </c>
      <c r="J95" s="10">
        <f t="shared" si="44"/>
        <v>0.31700000000000017</v>
      </c>
      <c r="K95" s="10">
        <v>94</v>
      </c>
      <c r="L95" s="21">
        <v>3747.723</v>
      </c>
      <c r="M95" s="21">
        <v>3787.3470000000002</v>
      </c>
      <c r="N95" s="13">
        <v>39.624000000000002</v>
      </c>
      <c r="O95" s="10">
        <v>6.3060002300000004</v>
      </c>
      <c r="P95" s="11">
        <v>3748.6001000000001</v>
      </c>
      <c r="Q95" s="12">
        <v>0.35050010700000001</v>
      </c>
      <c r="R95" s="12">
        <v>6.0397648799999999</v>
      </c>
      <c r="S95" s="12">
        <v>3749</v>
      </c>
      <c r="T95" s="12">
        <v>0.30379295299999998</v>
      </c>
      <c r="U95" s="10">
        <v>6.5050001100000001</v>
      </c>
      <c r="V95" s="13">
        <v>3748.6999500000002</v>
      </c>
      <c r="W95" s="12">
        <v>0.247499943</v>
      </c>
      <c r="X95" s="12">
        <v>21.924285900000001</v>
      </c>
      <c r="Y95" s="17" t="str">
        <f t="shared" si="45"/>
        <v>II</v>
      </c>
      <c r="Z95" s="17">
        <f t="shared" si="46"/>
        <v>21.924308201892785</v>
      </c>
      <c r="AA95" s="17">
        <f t="shared" si="47"/>
        <v>3.1557226885797318</v>
      </c>
      <c r="AB95" s="17">
        <f t="shared" si="48"/>
        <v>2.2630330604983095</v>
      </c>
      <c r="AC95" s="17">
        <f t="shared" si="49"/>
        <v>0.78075691798107216</v>
      </c>
      <c r="AD95" s="17">
        <f t="shared" si="50"/>
        <v>0.91184834697508454</v>
      </c>
      <c r="AE95" s="17">
        <f t="shared" si="51"/>
        <v>0.71</v>
      </c>
      <c r="AF95" s="17">
        <v>6340</v>
      </c>
      <c r="AG95" s="17">
        <v>3830</v>
      </c>
      <c r="AH95" s="17">
        <f t="shared" si="37"/>
        <v>2.6472568500000002E-2</v>
      </c>
      <c r="AI95" s="17">
        <f t="shared" si="52"/>
        <v>4949.9988599999979</v>
      </c>
      <c r="AJ95" s="17">
        <f t="shared" si="38"/>
        <v>2719.2999999999997</v>
      </c>
      <c r="AK95" s="17">
        <v>2.6472568500000002</v>
      </c>
      <c r="AL95" s="17">
        <v>3748.8000499999998</v>
      </c>
      <c r="AM95" s="20" t="str">
        <f t="shared" si="39"/>
        <v>II</v>
      </c>
      <c r="AN95" s="20"/>
      <c r="AO95" s="18">
        <f t="shared" si="53"/>
        <v>0.78075691798107216</v>
      </c>
      <c r="AP95" s="10" t="str">
        <f t="shared" si="54"/>
        <v>Daño del 15-25%</v>
      </c>
      <c r="AQ95" s="19" t="str">
        <f t="shared" ca="1" si="40"/>
        <v>D:\1. Pozos\11. Noviembre\4. DT-96\images\sec_max_pen_T94.png</v>
      </c>
      <c r="AR95" s="19" t="str">
        <f t="shared" ca="1" si="41"/>
        <v>D:\1. Pozos\11. Noviembre\4. DT-96\images\sec_max_res_T94.png</v>
      </c>
      <c r="AS95" s="10" t="str">
        <f t="shared" ca="1" si="42"/>
        <v>D:\1. Pozos\11. Noviembre\4. DT-96\images\94.emf</v>
      </c>
      <c r="AT95" s="19" t="str">
        <f t="shared" ca="1" si="43"/>
        <v>D:\1. Pozos\11. Noviembre\4. DT-96\images\GraficaIntegradaT94.png</v>
      </c>
    </row>
    <row r="96" spans="1:46" x14ac:dyDescent="0.25">
      <c r="A96" s="10" t="str">
        <f t="shared" si="31"/>
        <v>Well-1</v>
      </c>
      <c r="B96" s="10" t="str">
        <f t="shared" si="32"/>
        <v>Exploratorio</v>
      </c>
      <c r="C96" s="10" t="str">
        <f t="shared" si="33"/>
        <v>Colombia</v>
      </c>
      <c r="D96" s="10" t="str">
        <f t="shared" si="34"/>
        <v>State</v>
      </c>
      <c r="E96" s="10" t="str">
        <f t="shared" si="35"/>
        <v>Ecopetrol</v>
      </c>
      <c r="F96" s="10" t="s">
        <v>246</v>
      </c>
      <c r="G96" s="16" t="str">
        <f t="shared" si="36"/>
        <v>24/5/2022</v>
      </c>
      <c r="H96" s="10">
        <v>7</v>
      </c>
      <c r="I96" s="10">
        <v>6.3659999999999997</v>
      </c>
      <c r="J96" s="10">
        <f t="shared" si="44"/>
        <v>0.31700000000000017</v>
      </c>
      <c r="K96" s="10">
        <v>95</v>
      </c>
      <c r="L96" s="21">
        <v>3788.8470000000002</v>
      </c>
      <c r="M96" s="21">
        <v>3830.0160000000001</v>
      </c>
      <c r="N96" s="13">
        <v>41.168999999999997</v>
      </c>
      <c r="O96" s="10">
        <v>6.3295002</v>
      </c>
      <c r="P96" s="11">
        <v>3811.8000499999998</v>
      </c>
      <c r="Q96" s="12">
        <v>0.34200000800000002</v>
      </c>
      <c r="R96" s="12">
        <v>8.4121389400000002</v>
      </c>
      <c r="S96" s="12">
        <v>3830</v>
      </c>
      <c r="T96" s="12">
        <v>0.30197382</v>
      </c>
      <c r="U96" s="10">
        <v>6.5</v>
      </c>
      <c r="V96" s="13">
        <v>3821.3998999999999</v>
      </c>
      <c r="W96" s="12">
        <v>0.25</v>
      </c>
      <c r="X96" s="12">
        <v>21.135623899999999</v>
      </c>
      <c r="Y96" s="17" t="str">
        <f t="shared" si="45"/>
        <v>II</v>
      </c>
      <c r="Z96" s="17">
        <f t="shared" si="46"/>
        <v>21.135646687697204</v>
      </c>
      <c r="AA96" s="17">
        <f t="shared" si="47"/>
        <v>2.693732437199392</v>
      </c>
      <c r="AB96" s="17">
        <f t="shared" si="48"/>
        <v>1.8725961964579874</v>
      </c>
      <c r="AC96" s="17">
        <f t="shared" si="49"/>
        <v>0.78864353312302793</v>
      </c>
      <c r="AD96" s="17">
        <f t="shared" si="50"/>
        <v>0.93137019017710065</v>
      </c>
      <c r="AE96" s="17">
        <f t="shared" si="51"/>
        <v>0.73</v>
      </c>
      <c r="AF96" s="17">
        <v>6340</v>
      </c>
      <c r="AG96" s="17">
        <v>3830</v>
      </c>
      <c r="AH96" s="17">
        <f t="shared" si="37"/>
        <v>1.99720907E-2</v>
      </c>
      <c r="AI96" s="17">
        <f t="shared" si="52"/>
        <v>4999.9999999999973</v>
      </c>
      <c r="AJ96" s="17">
        <f t="shared" si="38"/>
        <v>2795.9</v>
      </c>
      <c r="AK96" s="17">
        <v>1.99720907</v>
      </c>
      <c r="AL96" s="17">
        <v>3811.8000499999998</v>
      </c>
      <c r="AM96" s="20" t="str">
        <f t="shared" si="39"/>
        <v>I</v>
      </c>
      <c r="AN96" s="20"/>
      <c r="AO96" s="18">
        <f t="shared" si="53"/>
        <v>0.78864353312302793</v>
      </c>
      <c r="AP96" s="10" t="str">
        <f t="shared" si="54"/>
        <v>Daño del 15-25%</v>
      </c>
      <c r="AQ96" s="19" t="str">
        <f t="shared" ca="1" si="40"/>
        <v>D:\1. Pozos\11. Noviembre\4. DT-96\images\sec_max_pen_T95.png</v>
      </c>
      <c r="AR96" s="19" t="str">
        <f t="shared" ca="1" si="41"/>
        <v>D:\1. Pozos\11. Noviembre\4. DT-96\images\sec_max_res_T95.png</v>
      </c>
      <c r="AS96" s="10" t="str">
        <f t="shared" ca="1" si="42"/>
        <v>D:\1. Pozos\11. Noviembre\4. DT-96\images\95.emf</v>
      </c>
      <c r="AT96" s="19" t="str">
        <f t="shared" ca="1" si="43"/>
        <v>D:\1. Pozos\11. Noviembre\4. DT-96\images\GraficaIntegradaT95.png</v>
      </c>
    </row>
    <row r="97" spans="1:46" x14ac:dyDescent="0.25">
      <c r="A97" s="10" t="str">
        <f t="shared" si="31"/>
        <v>Well-1</v>
      </c>
      <c r="B97" s="10" t="str">
        <f t="shared" si="32"/>
        <v>Exploratorio</v>
      </c>
      <c r="C97" s="10" t="str">
        <f t="shared" si="33"/>
        <v>Colombia</v>
      </c>
      <c r="D97" s="10" t="str">
        <f t="shared" si="34"/>
        <v>State</v>
      </c>
      <c r="E97" s="10" t="str">
        <f t="shared" si="35"/>
        <v>Ecopetrol</v>
      </c>
      <c r="F97" s="10" t="s">
        <v>246</v>
      </c>
      <c r="G97" s="16" t="str">
        <f t="shared" si="36"/>
        <v>24/5/2022</v>
      </c>
      <c r="H97" s="10">
        <v>7</v>
      </c>
      <c r="I97" s="10">
        <v>6.3659999999999997</v>
      </c>
      <c r="J97" s="10">
        <f t="shared" si="44"/>
        <v>0.31700000000000017</v>
      </c>
      <c r="K97" s="10">
        <v>96</v>
      </c>
      <c r="L97" s="21">
        <v>3831.5160000000001</v>
      </c>
      <c r="M97" s="21">
        <v>3870.3679999999999</v>
      </c>
      <c r="N97" s="13">
        <v>38.851999999999997</v>
      </c>
      <c r="O97" s="10">
        <v>6.3150005299999998</v>
      </c>
      <c r="P97" s="11">
        <v>3861.3000499999998</v>
      </c>
      <c r="Q97" s="12">
        <v>0.352499962</v>
      </c>
      <c r="R97" s="12">
        <v>6.0831036599999999</v>
      </c>
      <c r="S97" s="12">
        <v>3861</v>
      </c>
      <c r="T97" s="12">
        <v>0.303694248</v>
      </c>
      <c r="U97" s="10">
        <v>6.50600004</v>
      </c>
      <c r="V97" s="13">
        <v>3836.3998999999999</v>
      </c>
      <c r="W97" s="12">
        <v>0.24699997900000001</v>
      </c>
      <c r="X97" s="12">
        <v>22.0820045</v>
      </c>
      <c r="Y97" s="17" t="str">
        <f t="shared" si="45"/>
        <v>II</v>
      </c>
      <c r="Z97" s="17">
        <f t="shared" si="46"/>
        <v>22.082025552050514</v>
      </c>
      <c r="AA97" s="17">
        <f t="shared" si="47"/>
        <v>3.0245367216144903</v>
      </c>
      <c r="AB97" s="17">
        <f t="shared" si="48"/>
        <v>2.1267653163601574</v>
      </c>
      <c r="AC97" s="17">
        <f t="shared" si="49"/>
        <v>0.7791797444794949</v>
      </c>
      <c r="AD97" s="17">
        <f t="shared" si="50"/>
        <v>0.91866173418199215</v>
      </c>
      <c r="AE97" s="17">
        <f t="shared" si="51"/>
        <v>0.72</v>
      </c>
      <c r="AF97" s="17">
        <v>6340</v>
      </c>
      <c r="AG97" s="17">
        <v>3830</v>
      </c>
      <c r="AH97" s="17">
        <f t="shared" si="37"/>
        <v>2.3585941799999999E-2</v>
      </c>
      <c r="AI97" s="17">
        <f t="shared" si="52"/>
        <v>4939.9995799999979</v>
      </c>
      <c r="AJ97" s="17">
        <f t="shared" si="38"/>
        <v>2757.6</v>
      </c>
      <c r="AK97" s="17">
        <v>2.3585941799999999</v>
      </c>
      <c r="AL97" s="17">
        <v>3861.1999500000002</v>
      </c>
      <c r="AM97" s="20" t="str">
        <f t="shared" si="39"/>
        <v>II</v>
      </c>
      <c r="AN97" s="20"/>
      <c r="AO97" s="18">
        <f t="shared" si="53"/>
        <v>0.7791797444794949</v>
      </c>
      <c r="AP97" s="10" t="str">
        <f t="shared" si="54"/>
        <v>Daño del 15-25%</v>
      </c>
      <c r="AQ97" s="19" t="str">
        <f t="shared" ref="AQ97:AQ106" ca="1" si="55">Path&amp;"images\sec_max_pen_T"&amp;$K97&amp;".png"</f>
        <v>D:\1. Pozos\11. Noviembre\4. DT-96\images\sec_max_pen_T96.png</v>
      </c>
      <c r="AR97" s="19" t="str">
        <f t="shared" ref="AR97:AR106" ca="1" si="56">Path&amp;"images\sec_max_res_T"&amp;$K97&amp;".png"</f>
        <v>D:\1. Pozos\11. Noviembre\4. DT-96\images\sec_max_res_T96.png</v>
      </c>
      <c r="AS97" s="10" t="str">
        <f t="shared" ref="AS97:AS106" ca="1" si="57">Path&amp;"images\"&amp;$K97&amp;".emf"</f>
        <v>D:\1. Pozos\11. Noviembre\4. DT-96\images\96.emf</v>
      </c>
      <c r="AT97" s="19" t="str">
        <f t="shared" ref="AT97:AT106" ca="1" si="58">Path&amp;"images\GraficaIntegradaT"&amp;$K97&amp;".png"</f>
        <v>D:\1. Pozos\11. Noviembre\4. DT-96\images\GraficaIntegradaT96.png</v>
      </c>
    </row>
    <row r="98" spans="1:46" x14ac:dyDescent="0.25">
      <c r="A98" s="10" t="str">
        <f t="shared" si="31"/>
        <v>Well-1</v>
      </c>
      <c r="B98" s="10" t="str">
        <f t="shared" si="32"/>
        <v>Exploratorio</v>
      </c>
      <c r="C98" s="10" t="str">
        <f t="shared" si="33"/>
        <v>Colombia</v>
      </c>
      <c r="D98" s="10" t="str">
        <f t="shared" si="34"/>
        <v>State</v>
      </c>
      <c r="E98" s="10" t="str">
        <f t="shared" si="35"/>
        <v>Ecopetrol</v>
      </c>
      <c r="F98" s="10" t="s">
        <v>246</v>
      </c>
      <c r="G98" s="16" t="str">
        <f t="shared" si="36"/>
        <v>24/5/2022</v>
      </c>
      <c r="H98" s="10">
        <v>7</v>
      </c>
      <c r="I98" s="10">
        <v>6.3659999999999997</v>
      </c>
      <c r="J98" s="10">
        <f t="shared" si="44"/>
        <v>0.31700000000000017</v>
      </c>
      <c r="K98" s="10">
        <v>97</v>
      </c>
      <c r="L98" s="21">
        <v>3871.8679999999999</v>
      </c>
      <c r="M98" s="21">
        <v>3907.2440000000001</v>
      </c>
      <c r="N98" s="13">
        <v>35.377000000000002</v>
      </c>
      <c r="O98" s="10">
        <v>6.3300004000000003</v>
      </c>
      <c r="P98" s="11">
        <v>3890.1001000000001</v>
      </c>
      <c r="Q98" s="12">
        <v>0.34500002899999999</v>
      </c>
      <c r="R98" s="12">
        <v>7.0869965600000002</v>
      </c>
      <c r="S98" s="12">
        <v>3906.6001000000001</v>
      </c>
      <c r="T98" s="12">
        <v>0.298659801</v>
      </c>
      <c r="U98" s="10">
        <v>6.4910001800000003</v>
      </c>
      <c r="V98" s="13">
        <v>3874.3998999999999</v>
      </c>
      <c r="W98" s="12">
        <v>0.25449991199999999</v>
      </c>
      <c r="X98" s="12">
        <v>19.716093099999998</v>
      </c>
      <c r="Y98" s="17" t="str">
        <f t="shared" ref="Y98:Y106" si="59">IF((1-AO98)&lt;20%,"I",IF((1-AO98)&lt;40%,"II",IF((1-AO98)&lt;60%,"III",IF((1-AO98)&lt;80%,"IV","V"))))</f>
        <v>I</v>
      </c>
      <c r="Z98" s="17">
        <f t="shared" si="46"/>
        <v>19.716116088328121</v>
      </c>
      <c r="AA98" s="17">
        <f t="shared" si="47"/>
        <v>2.5434402816151502</v>
      </c>
      <c r="AB98" s="17">
        <f t="shared" si="48"/>
        <v>1.845811747500048</v>
      </c>
      <c r="AC98" s="17">
        <f t="shared" si="49"/>
        <v>0.80283883911671883</v>
      </c>
      <c r="AD98" s="17">
        <f t="shared" si="50"/>
        <v>0.93270941262499762</v>
      </c>
      <c r="AE98" s="17">
        <f t="shared" si="51"/>
        <v>0.75</v>
      </c>
      <c r="AF98" s="17">
        <v>6340</v>
      </c>
      <c r="AG98" s="17">
        <v>3830</v>
      </c>
      <c r="AH98" s="17">
        <f t="shared" si="37"/>
        <v>2.2582111399999997E-2</v>
      </c>
      <c r="AI98" s="17">
        <f t="shared" si="52"/>
        <v>5089.9982399999972</v>
      </c>
      <c r="AJ98" s="17">
        <f t="shared" si="38"/>
        <v>2872.5</v>
      </c>
      <c r="AK98" s="17">
        <v>2.2582111399999998</v>
      </c>
      <c r="AL98" s="17">
        <v>3890.1001000000001</v>
      </c>
      <c r="AM98" s="20" t="str">
        <f t="shared" si="39"/>
        <v>II</v>
      </c>
      <c r="AN98" s="20"/>
      <c r="AO98" s="18">
        <f t="shared" ref="AO98:AO106" si="60">((100*W98)/J98)%</f>
        <v>0.80283883911671883</v>
      </c>
      <c r="AP98" s="10" t="str">
        <f t="shared" ref="AP98:AP106" si="61">IF(Y98="I","Daño del 0-15%",IF(Y98="II","Daño del 15-25%",IF(Y98="III","Daño del 25-50%","Daño del 50-100%")))</f>
        <v>Daño del 0-15%</v>
      </c>
      <c r="AQ98" s="19" t="str">
        <f t="shared" ca="1" si="55"/>
        <v>D:\1. Pozos\11. Noviembre\4. DT-96\images\sec_max_pen_T97.png</v>
      </c>
      <c r="AR98" s="19" t="str">
        <f t="shared" ca="1" si="56"/>
        <v>D:\1. Pozos\11. Noviembre\4. DT-96\images\sec_max_res_T97.png</v>
      </c>
      <c r="AS98" s="10" t="str">
        <f t="shared" ca="1" si="57"/>
        <v>D:\1. Pozos\11. Noviembre\4. DT-96\images\97.emf</v>
      </c>
      <c r="AT98" s="19" t="str">
        <f t="shared" ca="1" si="58"/>
        <v>D:\1. Pozos\11. Noviembre\4. DT-96\images\GraficaIntegradaT97.png</v>
      </c>
    </row>
    <row r="99" spans="1:46" x14ac:dyDescent="0.25">
      <c r="A99" s="10" t="str">
        <f t="shared" si="31"/>
        <v>Well-1</v>
      </c>
      <c r="B99" s="10" t="str">
        <f t="shared" si="32"/>
        <v>Exploratorio</v>
      </c>
      <c r="C99" s="10" t="str">
        <f t="shared" si="33"/>
        <v>Colombia</v>
      </c>
      <c r="D99" s="10" t="str">
        <f t="shared" si="34"/>
        <v>State</v>
      </c>
      <c r="E99" s="10" t="str">
        <f t="shared" si="35"/>
        <v>Ecopetrol</v>
      </c>
      <c r="F99" s="10" t="s">
        <v>246</v>
      </c>
      <c r="G99" s="16" t="str">
        <f t="shared" si="36"/>
        <v>24/5/2022</v>
      </c>
      <c r="H99" s="10">
        <v>7</v>
      </c>
      <c r="I99" s="10">
        <v>6.3659999999999997</v>
      </c>
      <c r="J99" s="10">
        <f t="shared" si="44"/>
        <v>0.31700000000000017</v>
      </c>
      <c r="K99" s="10">
        <v>98</v>
      </c>
      <c r="L99" s="21">
        <v>3908.7440000000001</v>
      </c>
      <c r="M99" s="21">
        <v>3944.3139999999999</v>
      </c>
      <c r="N99" s="13">
        <v>35.57</v>
      </c>
      <c r="O99" s="10">
        <v>6.3465004</v>
      </c>
      <c r="P99" s="11">
        <v>3920.8000499999998</v>
      </c>
      <c r="Q99" s="12">
        <v>0.337500095</v>
      </c>
      <c r="R99" s="12">
        <v>6.6416039500000004</v>
      </c>
      <c r="S99" s="12">
        <v>3908.6999500000002</v>
      </c>
      <c r="T99" s="12">
        <v>0.30068445199999999</v>
      </c>
      <c r="U99" s="10">
        <v>6.4650001499999998</v>
      </c>
      <c r="V99" s="13">
        <v>3910.8998999999999</v>
      </c>
      <c r="W99" s="12">
        <v>0.267499924</v>
      </c>
      <c r="X99" s="12">
        <v>15.615142799999999</v>
      </c>
      <c r="Y99" s="17" t="str">
        <f t="shared" si="59"/>
        <v>I</v>
      </c>
      <c r="Z99" s="17">
        <f t="shared" si="46"/>
        <v>15.615165930599414</v>
      </c>
      <c r="AA99" s="17">
        <f t="shared" si="47"/>
        <v>1.8671668247275175</v>
      </c>
      <c r="AB99" s="17">
        <f t="shared" si="48"/>
        <v>1.3442876644268464</v>
      </c>
      <c r="AC99" s="17">
        <f t="shared" si="49"/>
        <v>0.84384834069400583</v>
      </c>
      <c r="AD99" s="17">
        <f t="shared" si="50"/>
        <v>0.9577856167786577</v>
      </c>
      <c r="AE99" s="17">
        <f t="shared" si="51"/>
        <v>0.81</v>
      </c>
      <c r="AF99" s="17">
        <v>6340</v>
      </c>
      <c r="AG99" s="17">
        <v>3830</v>
      </c>
      <c r="AH99" s="17">
        <f t="shared" si="37"/>
        <v>1.4803307100000001E-2</v>
      </c>
      <c r="AI99" s="17">
        <f t="shared" si="52"/>
        <v>5349.9984799999966</v>
      </c>
      <c r="AJ99" s="17">
        <f t="shared" si="38"/>
        <v>3102.3</v>
      </c>
      <c r="AK99" s="17">
        <v>1.48033071</v>
      </c>
      <c r="AL99" s="17">
        <v>3920.8998999999999</v>
      </c>
      <c r="AM99" s="20" t="str">
        <f t="shared" si="39"/>
        <v>I</v>
      </c>
      <c r="AN99" s="20"/>
      <c r="AO99" s="18">
        <f t="shared" si="60"/>
        <v>0.84384834069400583</v>
      </c>
      <c r="AP99" s="10" t="str">
        <f t="shared" si="61"/>
        <v>Daño del 0-15%</v>
      </c>
      <c r="AQ99" s="19" t="str">
        <f t="shared" ca="1" si="55"/>
        <v>D:\1. Pozos\11. Noviembre\4. DT-96\images\sec_max_pen_T98.png</v>
      </c>
      <c r="AR99" s="19" t="str">
        <f t="shared" ca="1" si="56"/>
        <v>D:\1. Pozos\11. Noviembre\4. DT-96\images\sec_max_res_T98.png</v>
      </c>
      <c r="AS99" s="10" t="str">
        <f t="shared" ca="1" si="57"/>
        <v>D:\1. Pozos\11. Noviembre\4. DT-96\images\98.emf</v>
      </c>
      <c r="AT99" s="19" t="str">
        <f t="shared" ca="1" si="58"/>
        <v>D:\1. Pozos\11. Noviembre\4. DT-96\images\GraficaIntegradaT98.png</v>
      </c>
    </row>
    <row r="100" spans="1:46" x14ac:dyDescent="0.25">
      <c r="A100" s="10" t="str">
        <f t="shared" si="31"/>
        <v>Well-1</v>
      </c>
      <c r="B100" s="10" t="str">
        <f t="shared" si="32"/>
        <v>Exploratorio</v>
      </c>
      <c r="C100" s="10" t="str">
        <f t="shared" si="33"/>
        <v>Colombia</v>
      </c>
      <c r="D100" s="10" t="str">
        <f t="shared" si="34"/>
        <v>State</v>
      </c>
      <c r="E100" s="10" t="str">
        <f t="shared" si="35"/>
        <v>Ecopetrol</v>
      </c>
      <c r="F100" s="10" t="s">
        <v>246</v>
      </c>
      <c r="G100" s="16" t="str">
        <f t="shared" si="36"/>
        <v>24/5/2022</v>
      </c>
      <c r="H100" s="10">
        <v>7</v>
      </c>
      <c r="I100" s="10">
        <v>6.3659999999999997</v>
      </c>
      <c r="J100" s="10">
        <f t="shared" si="44"/>
        <v>0.31700000000000017</v>
      </c>
      <c r="K100" s="10">
        <v>99</v>
      </c>
      <c r="L100" s="21">
        <v>3945.8139999999999</v>
      </c>
      <c r="M100" s="21">
        <v>3985.2449999999999</v>
      </c>
      <c r="N100" s="13">
        <v>39.430999999999997</v>
      </c>
      <c r="O100" s="10">
        <v>6.3300004000000003</v>
      </c>
      <c r="P100" s="11">
        <v>3983.6999500000002</v>
      </c>
      <c r="Q100" s="12">
        <v>0.34249997100000001</v>
      </c>
      <c r="R100" s="12">
        <v>12.857413299999999</v>
      </c>
      <c r="S100" s="12">
        <v>3946</v>
      </c>
      <c r="T100" s="12">
        <v>0.30227613399999997</v>
      </c>
      <c r="U100" s="10">
        <v>6.4730000499999996</v>
      </c>
      <c r="V100" s="13">
        <v>3983.8000499999998</v>
      </c>
      <c r="W100" s="12">
        <v>0.263499975</v>
      </c>
      <c r="X100" s="12">
        <v>16.8769569</v>
      </c>
      <c r="Y100" s="17" t="str">
        <f t="shared" si="59"/>
        <v>I</v>
      </c>
      <c r="Z100" s="17">
        <f t="shared" si="46"/>
        <v>16.876979495268184</v>
      </c>
      <c r="AA100" s="17">
        <f t="shared" si="47"/>
        <v>2.2590780562983692</v>
      </c>
      <c r="AB100" s="17">
        <f t="shared" si="48"/>
        <v>1.6465005436650415</v>
      </c>
      <c r="AC100" s="17">
        <f t="shared" si="49"/>
        <v>0.83123020504731815</v>
      </c>
      <c r="AD100" s="17">
        <f t="shared" si="50"/>
        <v>0.94267497281674795</v>
      </c>
      <c r="AE100" s="17">
        <f t="shared" si="51"/>
        <v>0.78</v>
      </c>
      <c r="AF100" s="17">
        <v>6340</v>
      </c>
      <c r="AG100" s="17">
        <v>3830</v>
      </c>
      <c r="AH100" s="17">
        <f t="shared" si="37"/>
        <v>1.9747931999999999E-2</v>
      </c>
      <c r="AI100" s="17">
        <f t="shared" si="52"/>
        <v>5269.9994999999972</v>
      </c>
      <c r="AJ100" s="17">
        <f t="shared" si="38"/>
        <v>2987.4</v>
      </c>
      <c r="AK100" s="17">
        <v>1.9747931999999999</v>
      </c>
      <c r="AL100" s="17">
        <v>3983.6001000000001</v>
      </c>
      <c r="AM100" s="20" t="str">
        <f t="shared" si="39"/>
        <v>I</v>
      </c>
      <c r="AN100" s="20"/>
      <c r="AO100" s="18">
        <f t="shared" si="60"/>
        <v>0.83123020504731815</v>
      </c>
      <c r="AP100" s="10" t="str">
        <f t="shared" si="61"/>
        <v>Daño del 0-15%</v>
      </c>
      <c r="AQ100" s="19" t="str">
        <f t="shared" ca="1" si="55"/>
        <v>D:\1. Pozos\11. Noviembre\4. DT-96\images\sec_max_pen_T99.png</v>
      </c>
      <c r="AR100" s="19" t="str">
        <f t="shared" ca="1" si="56"/>
        <v>D:\1. Pozos\11. Noviembre\4. DT-96\images\sec_max_res_T99.png</v>
      </c>
      <c r="AS100" s="10" t="str">
        <f t="shared" ca="1" si="57"/>
        <v>D:\1. Pozos\11. Noviembre\4. DT-96\images\99.emf</v>
      </c>
      <c r="AT100" s="19" t="str">
        <f t="shared" ca="1" si="58"/>
        <v>D:\1. Pozos\11. Noviembre\4. DT-96\images\GraficaIntegradaT99.png</v>
      </c>
    </row>
    <row r="101" spans="1:46" x14ac:dyDescent="0.25">
      <c r="A101" s="10" t="str">
        <f t="shared" si="31"/>
        <v>Well-1</v>
      </c>
      <c r="B101" s="10" t="str">
        <f t="shared" si="32"/>
        <v>Exploratorio</v>
      </c>
      <c r="C101" s="10" t="str">
        <f t="shared" si="33"/>
        <v>Colombia</v>
      </c>
      <c r="D101" s="10" t="str">
        <f t="shared" si="34"/>
        <v>State</v>
      </c>
      <c r="E101" s="10" t="str">
        <f t="shared" si="35"/>
        <v>Ecopetrol</v>
      </c>
      <c r="F101" s="10" t="s">
        <v>246</v>
      </c>
      <c r="G101" s="16" t="str">
        <f t="shared" si="36"/>
        <v>24/5/2022</v>
      </c>
      <c r="H101" s="10">
        <v>7</v>
      </c>
      <c r="I101" s="10">
        <v>6.3659999999999997</v>
      </c>
      <c r="J101" s="10">
        <f t="shared" si="44"/>
        <v>0.31700000000000017</v>
      </c>
      <c r="K101" s="10">
        <v>100</v>
      </c>
      <c r="L101" s="21">
        <v>3986.7449999999999</v>
      </c>
      <c r="M101" s="21">
        <v>4024.0520000000001</v>
      </c>
      <c r="N101" s="13">
        <v>37.307000000000002</v>
      </c>
      <c r="O101" s="10">
        <v>6.3105001400000003</v>
      </c>
      <c r="P101" s="11">
        <v>3989.3998999999999</v>
      </c>
      <c r="Q101" s="12">
        <v>0.35150003400000002</v>
      </c>
      <c r="R101" s="12">
        <v>12.168283499999999</v>
      </c>
      <c r="S101" s="12">
        <v>3986.8998999999999</v>
      </c>
      <c r="T101" s="12">
        <v>0.30083036400000002</v>
      </c>
      <c r="U101" s="10">
        <v>6.5130000099999998</v>
      </c>
      <c r="V101" s="13">
        <v>3989.1001000000001</v>
      </c>
      <c r="W101" s="12">
        <v>0.243499994</v>
      </c>
      <c r="X101" s="12">
        <v>23.1861</v>
      </c>
      <c r="Y101" s="17" t="str">
        <f t="shared" si="59"/>
        <v>II</v>
      </c>
      <c r="Z101" s="17">
        <f t="shared" si="46"/>
        <v>23.186121766561556</v>
      </c>
      <c r="AA101" s="17">
        <f t="shared" si="47"/>
        <v>3.208935353894149</v>
      </c>
      <c r="AB101" s="17">
        <f t="shared" si="48"/>
        <v>2.300443653900297</v>
      </c>
      <c r="AC101" s="17">
        <f t="shared" si="49"/>
        <v>0.76813878233438448</v>
      </c>
      <c r="AD101" s="17">
        <f t="shared" si="50"/>
        <v>0.90997781730498517</v>
      </c>
      <c r="AE101" s="17">
        <f t="shared" si="51"/>
        <v>0.7</v>
      </c>
      <c r="AF101" s="17">
        <v>6340</v>
      </c>
      <c r="AG101" s="17">
        <v>3830</v>
      </c>
      <c r="AH101" s="17">
        <f t="shared" si="37"/>
        <v>2.8208322500000001E-2</v>
      </c>
      <c r="AI101" s="17">
        <f t="shared" si="52"/>
        <v>4869.9998799999976</v>
      </c>
      <c r="AJ101" s="17">
        <f t="shared" si="38"/>
        <v>2681</v>
      </c>
      <c r="AK101" s="17">
        <v>2.82083225</v>
      </c>
      <c r="AL101" s="17">
        <v>3999.3000499999998</v>
      </c>
      <c r="AM101" s="20" t="str">
        <f t="shared" si="39"/>
        <v>II</v>
      </c>
      <c r="AN101" s="20"/>
      <c r="AO101" s="18">
        <f t="shared" si="60"/>
        <v>0.76813878233438448</v>
      </c>
      <c r="AP101" s="10" t="str">
        <f t="shared" si="61"/>
        <v>Daño del 15-25%</v>
      </c>
      <c r="AQ101" s="19" t="str">
        <f t="shared" ca="1" si="55"/>
        <v>D:\1. Pozos\11. Noviembre\4. DT-96\images\sec_max_pen_T100.png</v>
      </c>
      <c r="AR101" s="19" t="str">
        <f t="shared" ca="1" si="56"/>
        <v>D:\1. Pozos\11. Noviembre\4. DT-96\images\sec_max_res_T100.png</v>
      </c>
      <c r="AS101" s="10" t="str">
        <f t="shared" ca="1" si="57"/>
        <v>D:\1. Pozos\11. Noviembre\4. DT-96\images\100.emf</v>
      </c>
      <c r="AT101" s="19" t="str">
        <f t="shared" ca="1" si="58"/>
        <v>D:\1. Pozos\11. Noviembre\4. DT-96\images\GraficaIntegradaT100.png</v>
      </c>
    </row>
    <row r="102" spans="1:46" x14ac:dyDescent="0.25">
      <c r="A102" s="10" t="str">
        <f t="shared" si="31"/>
        <v>Well-1</v>
      </c>
      <c r="B102" s="10" t="str">
        <f t="shared" si="32"/>
        <v>Exploratorio</v>
      </c>
      <c r="C102" s="10" t="str">
        <f t="shared" si="33"/>
        <v>Colombia</v>
      </c>
      <c r="D102" s="10" t="str">
        <f t="shared" si="34"/>
        <v>State</v>
      </c>
      <c r="E102" s="10" t="str">
        <f t="shared" si="35"/>
        <v>Ecopetrol</v>
      </c>
      <c r="F102" s="10" t="s">
        <v>246</v>
      </c>
      <c r="G102" s="16" t="str">
        <f t="shared" si="36"/>
        <v>24/5/2022</v>
      </c>
      <c r="H102" s="10">
        <v>7</v>
      </c>
      <c r="I102" s="10">
        <v>6.3659999999999997</v>
      </c>
      <c r="J102" s="10">
        <f t="shared" si="44"/>
        <v>0.31700000000000017</v>
      </c>
      <c r="K102" s="10">
        <v>101</v>
      </c>
      <c r="L102" s="21">
        <v>4025.5520000000001</v>
      </c>
      <c r="M102" s="21">
        <v>4065.5619999999999</v>
      </c>
      <c r="N102" s="13">
        <v>40.01</v>
      </c>
      <c r="O102" s="10">
        <v>6.3170003899999996</v>
      </c>
      <c r="P102" s="11">
        <v>4065</v>
      </c>
      <c r="Q102" s="12">
        <v>0.343499899</v>
      </c>
      <c r="R102" s="12">
        <v>12.988139200000001</v>
      </c>
      <c r="S102" s="12">
        <v>4025.6001000000001</v>
      </c>
      <c r="T102" s="12">
        <v>0.30175328299999998</v>
      </c>
      <c r="U102" s="10">
        <v>6.4790000900000004</v>
      </c>
      <c r="V102" s="13">
        <v>4025.6001000000001</v>
      </c>
      <c r="W102" s="12">
        <v>0.26049995399999998</v>
      </c>
      <c r="X102" s="12">
        <v>17.8233356</v>
      </c>
      <c r="Y102" s="17" t="str">
        <f t="shared" si="59"/>
        <v>I</v>
      </c>
      <c r="Z102" s="17">
        <f t="shared" si="46"/>
        <v>17.823358359621501</v>
      </c>
      <c r="AA102" s="17">
        <f t="shared" si="47"/>
        <v>2.564503561792586</v>
      </c>
      <c r="AB102" s="17">
        <f t="shared" si="48"/>
        <v>1.9114510613478242</v>
      </c>
      <c r="AC102" s="17">
        <f t="shared" si="49"/>
        <v>0.821766416403785</v>
      </c>
      <c r="AD102" s="17">
        <f t="shared" si="50"/>
        <v>0.92942744693260881</v>
      </c>
      <c r="AE102" s="17">
        <f t="shared" si="51"/>
        <v>0.76</v>
      </c>
      <c r="AF102" s="17">
        <v>6340</v>
      </c>
      <c r="AG102" s="17">
        <v>3830</v>
      </c>
      <c r="AH102" s="17">
        <f t="shared" si="37"/>
        <v>1.8467212900000002E-2</v>
      </c>
      <c r="AI102" s="17">
        <f t="shared" si="52"/>
        <v>5209.9990799999969</v>
      </c>
      <c r="AJ102" s="17">
        <f t="shared" si="38"/>
        <v>2910.8</v>
      </c>
      <c r="AK102" s="17">
        <v>1.8467212900000001</v>
      </c>
      <c r="AL102" s="17">
        <v>4064.8998999999999</v>
      </c>
      <c r="AM102" s="20" t="str">
        <f t="shared" si="39"/>
        <v>I</v>
      </c>
      <c r="AN102" s="20"/>
      <c r="AO102" s="18">
        <f t="shared" si="60"/>
        <v>0.82176641640378489</v>
      </c>
      <c r="AP102" s="10" t="str">
        <f t="shared" si="61"/>
        <v>Daño del 0-15%</v>
      </c>
      <c r="AQ102" s="19" t="str">
        <f t="shared" ca="1" si="55"/>
        <v>D:\1. Pozos\11. Noviembre\4. DT-96\images\sec_max_pen_T101.png</v>
      </c>
      <c r="AR102" s="19" t="str">
        <f t="shared" ca="1" si="56"/>
        <v>D:\1. Pozos\11. Noviembre\4. DT-96\images\sec_max_res_T101.png</v>
      </c>
      <c r="AS102" s="10" t="str">
        <f t="shared" ca="1" si="57"/>
        <v>D:\1. Pozos\11. Noviembre\4. DT-96\images\101.emf</v>
      </c>
      <c r="AT102" s="19" t="str">
        <f t="shared" ca="1" si="58"/>
        <v>D:\1. Pozos\11. Noviembre\4. DT-96\images\GraficaIntegradaT101.png</v>
      </c>
    </row>
    <row r="103" spans="1:46" x14ac:dyDescent="0.25">
      <c r="A103" s="10" t="str">
        <f t="shared" si="31"/>
        <v>Well-1</v>
      </c>
      <c r="B103" s="10" t="str">
        <f t="shared" si="32"/>
        <v>Exploratorio</v>
      </c>
      <c r="C103" s="10" t="str">
        <f t="shared" si="33"/>
        <v>Colombia</v>
      </c>
      <c r="D103" s="10" t="str">
        <f t="shared" si="34"/>
        <v>State</v>
      </c>
      <c r="E103" s="10" t="str">
        <f t="shared" si="35"/>
        <v>Ecopetrol</v>
      </c>
      <c r="F103" s="10" t="s">
        <v>246</v>
      </c>
      <c r="G103" s="16" t="str">
        <f t="shared" si="36"/>
        <v>24/5/2022</v>
      </c>
      <c r="H103" s="10">
        <v>7</v>
      </c>
      <c r="I103" s="10">
        <v>6.3659999999999997</v>
      </c>
      <c r="J103" s="10">
        <f t="shared" si="44"/>
        <v>0.31700000000000017</v>
      </c>
      <c r="K103" s="10">
        <v>102</v>
      </c>
      <c r="L103" s="21">
        <v>4067.0619999999999</v>
      </c>
      <c r="M103" s="21">
        <v>4106.8789999999999</v>
      </c>
      <c r="N103" s="13">
        <v>39.817</v>
      </c>
      <c r="O103" s="10">
        <v>6.3015003199999997</v>
      </c>
      <c r="P103" s="11">
        <v>4086.1999500000002</v>
      </c>
      <c r="Q103" s="12">
        <v>0.35349988900000001</v>
      </c>
      <c r="R103" s="12">
        <v>8.4493036299999993</v>
      </c>
      <c r="S103" s="12">
        <v>4078.6001000000001</v>
      </c>
      <c r="T103" s="12">
        <v>0.29839420300000002</v>
      </c>
      <c r="U103" s="10">
        <v>6.5190000499999998</v>
      </c>
      <c r="V103" s="13">
        <v>4078.5</v>
      </c>
      <c r="W103" s="12">
        <v>0.24049997300000001</v>
      </c>
      <c r="X103" s="12">
        <v>24.1324787</v>
      </c>
      <c r="Y103" s="17" t="str">
        <f t="shared" si="59"/>
        <v>II</v>
      </c>
      <c r="Z103" s="17">
        <f t="shared" si="46"/>
        <v>24.132500630914866</v>
      </c>
      <c r="AA103" s="17">
        <f t="shared" si="47"/>
        <v>3.4515546926132679</v>
      </c>
      <c r="AB103" s="17">
        <f t="shared" si="48"/>
        <v>2.532817454494718</v>
      </c>
      <c r="AC103" s="17">
        <f t="shared" si="49"/>
        <v>0.75867499369085134</v>
      </c>
      <c r="AD103" s="17">
        <f t="shared" si="50"/>
        <v>0.89835912727526412</v>
      </c>
      <c r="AE103" s="17">
        <f t="shared" si="51"/>
        <v>0.68</v>
      </c>
      <c r="AF103" s="17">
        <v>6340</v>
      </c>
      <c r="AG103" s="17">
        <v>3830</v>
      </c>
      <c r="AH103" s="17">
        <f t="shared" si="37"/>
        <v>3.0243937999999998E-2</v>
      </c>
      <c r="AI103" s="17">
        <f t="shared" si="52"/>
        <v>4809.9994599999973</v>
      </c>
      <c r="AJ103" s="17">
        <f t="shared" si="38"/>
        <v>2604.4</v>
      </c>
      <c r="AK103" s="17">
        <v>3.0243937999999999</v>
      </c>
      <c r="AL103" s="17">
        <v>4078.5</v>
      </c>
      <c r="AM103" s="20" t="str">
        <f t="shared" si="39"/>
        <v>II</v>
      </c>
      <c r="AN103" s="20"/>
      <c r="AO103" s="18">
        <f t="shared" si="60"/>
        <v>0.75867499369085134</v>
      </c>
      <c r="AP103" s="10" t="str">
        <f t="shared" si="61"/>
        <v>Daño del 15-25%</v>
      </c>
      <c r="AQ103" s="19" t="str">
        <f t="shared" ca="1" si="55"/>
        <v>D:\1. Pozos\11. Noviembre\4. DT-96\images\sec_max_pen_T102.png</v>
      </c>
      <c r="AR103" s="19" t="str">
        <f t="shared" ca="1" si="56"/>
        <v>D:\1. Pozos\11. Noviembre\4. DT-96\images\sec_max_res_T102.png</v>
      </c>
      <c r="AS103" s="10" t="str">
        <f t="shared" ca="1" si="57"/>
        <v>D:\1. Pozos\11. Noviembre\4. DT-96\images\102.emf</v>
      </c>
      <c r="AT103" s="19" t="str">
        <f t="shared" ca="1" si="58"/>
        <v>D:\1. Pozos\11. Noviembre\4. DT-96\images\GraficaIntegradaT102.png</v>
      </c>
    </row>
    <row r="104" spans="1:46" x14ac:dyDescent="0.25">
      <c r="A104" s="10" t="str">
        <f t="shared" si="31"/>
        <v>Well-1</v>
      </c>
      <c r="B104" s="10" t="str">
        <f t="shared" si="32"/>
        <v>Exploratorio</v>
      </c>
      <c r="C104" s="10" t="str">
        <f t="shared" si="33"/>
        <v>Colombia</v>
      </c>
      <c r="D104" s="10" t="str">
        <f t="shared" si="34"/>
        <v>State</v>
      </c>
      <c r="E104" s="10" t="str">
        <f t="shared" si="35"/>
        <v>Ecopetrol</v>
      </c>
      <c r="F104" s="10" t="s">
        <v>246</v>
      </c>
      <c r="G104" s="16" t="str">
        <f t="shared" si="36"/>
        <v>24/5/2022</v>
      </c>
      <c r="H104" s="10">
        <v>7</v>
      </c>
      <c r="I104" s="10">
        <v>6.3659999999999997</v>
      </c>
      <c r="J104" s="10">
        <f t="shared" si="44"/>
        <v>0.31700000000000017</v>
      </c>
      <c r="K104" s="10">
        <v>103</v>
      </c>
      <c r="L104" s="21">
        <v>4108.3789999999999</v>
      </c>
      <c r="M104" s="21">
        <v>4145.4939999999997</v>
      </c>
      <c r="N104" s="13">
        <v>37.113999999999997</v>
      </c>
      <c r="O104" s="10">
        <v>6.26450014</v>
      </c>
      <c r="P104" s="11">
        <v>4136.7997999999998</v>
      </c>
      <c r="Q104" s="12">
        <v>0.37450003599999998</v>
      </c>
      <c r="R104" s="12">
        <v>8.9608173400000002</v>
      </c>
      <c r="S104" s="12">
        <v>4136.7997999999998</v>
      </c>
      <c r="T104" s="12">
        <v>0.298888445</v>
      </c>
      <c r="U104" s="10">
        <v>6.5370001799999997</v>
      </c>
      <c r="V104" s="13">
        <v>4136.8999000000003</v>
      </c>
      <c r="W104" s="12">
        <v>0.23149991</v>
      </c>
      <c r="X104" s="12">
        <v>26.971616699999998</v>
      </c>
      <c r="Y104" s="17" t="str">
        <f t="shared" si="59"/>
        <v>II</v>
      </c>
      <c r="Z104" s="17">
        <f t="shared" si="46"/>
        <v>26.971637223974803</v>
      </c>
      <c r="AA104" s="17">
        <f t="shared" si="47"/>
        <v>4.3499087542521853</v>
      </c>
      <c r="AB104" s="17">
        <f t="shared" si="48"/>
        <v>3.2741878907516453</v>
      </c>
      <c r="AC104" s="17">
        <f t="shared" si="49"/>
        <v>0.73028362776025202</v>
      </c>
      <c r="AD104" s="17">
        <f t="shared" si="50"/>
        <v>0.86129060546241776</v>
      </c>
      <c r="AE104" s="17">
        <f t="shared" si="51"/>
        <v>0.63</v>
      </c>
      <c r="AF104" s="17">
        <v>6340</v>
      </c>
      <c r="AG104" s="17">
        <v>3830</v>
      </c>
      <c r="AH104" s="17">
        <f t="shared" si="37"/>
        <v>4.02524805E-2</v>
      </c>
      <c r="AI104" s="17">
        <f t="shared" si="52"/>
        <v>4629.9981999999982</v>
      </c>
      <c r="AJ104" s="17">
        <f t="shared" si="38"/>
        <v>2412.9</v>
      </c>
      <c r="AK104" s="17">
        <v>4.0252480500000001</v>
      </c>
      <c r="AL104" s="17">
        <v>4136.7997999999998</v>
      </c>
      <c r="AM104" s="20" t="str">
        <f t="shared" si="39"/>
        <v>II</v>
      </c>
      <c r="AN104" s="20"/>
      <c r="AO104" s="18">
        <f t="shared" si="60"/>
        <v>0.73028362776025191</v>
      </c>
      <c r="AP104" s="10" t="str">
        <f t="shared" si="61"/>
        <v>Daño del 15-25%</v>
      </c>
      <c r="AQ104" s="19" t="str">
        <f t="shared" ca="1" si="55"/>
        <v>D:\1. Pozos\11. Noviembre\4. DT-96\images\sec_max_pen_T103.png</v>
      </c>
      <c r="AR104" s="19" t="str">
        <f t="shared" ca="1" si="56"/>
        <v>D:\1. Pozos\11. Noviembre\4. DT-96\images\sec_max_res_T103.png</v>
      </c>
      <c r="AS104" s="10" t="str">
        <f t="shared" ca="1" si="57"/>
        <v>D:\1. Pozos\11. Noviembre\4. DT-96\images\103.emf</v>
      </c>
      <c r="AT104" s="19" t="str">
        <f t="shared" ca="1" si="58"/>
        <v>D:\1. Pozos\11. Noviembre\4. DT-96\images\GraficaIntegradaT103.png</v>
      </c>
    </row>
    <row r="105" spans="1:46" x14ac:dyDescent="0.25">
      <c r="A105" s="10" t="str">
        <f t="shared" si="31"/>
        <v>Well-1</v>
      </c>
      <c r="B105" s="10" t="str">
        <f t="shared" si="32"/>
        <v>Exploratorio</v>
      </c>
      <c r="C105" s="10" t="str">
        <f t="shared" si="33"/>
        <v>Colombia</v>
      </c>
      <c r="D105" s="10" t="str">
        <f t="shared" si="34"/>
        <v>State</v>
      </c>
      <c r="E105" s="10" t="str">
        <f t="shared" si="35"/>
        <v>Ecopetrol</v>
      </c>
      <c r="F105" s="10" t="s">
        <v>246</v>
      </c>
      <c r="G105" s="16" t="str">
        <f t="shared" si="36"/>
        <v>24/5/2022</v>
      </c>
      <c r="H105" s="10">
        <v>7</v>
      </c>
      <c r="I105" s="10">
        <v>6.3659999999999997</v>
      </c>
      <c r="J105" s="10">
        <f t="shared" si="44"/>
        <v>0.31700000000000017</v>
      </c>
      <c r="K105" s="10">
        <v>104</v>
      </c>
      <c r="L105" s="21">
        <v>4146.9939999999997</v>
      </c>
      <c r="M105" s="21">
        <v>4185.634</v>
      </c>
      <c r="N105" s="13">
        <v>38.640999999999998</v>
      </c>
      <c r="O105" s="10">
        <v>6.3150005299999998</v>
      </c>
      <c r="P105" s="11">
        <v>4152.6000999999997</v>
      </c>
      <c r="Q105" s="12">
        <v>0.34899997700000002</v>
      </c>
      <c r="R105" s="12">
        <v>7.2861852599999999</v>
      </c>
      <c r="S105" s="12">
        <v>4185.6000999999997</v>
      </c>
      <c r="T105" s="12">
        <v>0.30321669600000001</v>
      </c>
      <c r="U105" s="10">
        <v>6.4860000600000003</v>
      </c>
      <c r="V105" s="13">
        <v>4148.7002000000002</v>
      </c>
      <c r="W105" s="12">
        <v>0.25699996899999999</v>
      </c>
      <c r="X105" s="12">
        <v>18.9274311</v>
      </c>
      <c r="Y105" s="17" t="str">
        <f t="shared" si="59"/>
        <v>I</v>
      </c>
      <c r="Z105" s="17">
        <f t="shared" si="46"/>
        <v>18.927454574132536</v>
      </c>
      <c r="AA105" s="17">
        <f t="shared" si="47"/>
        <v>2.7078308099524495</v>
      </c>
      <c r="AB105" s="17">
        <f t="shared" si="48"/>
        <v>1.9759745451676247</v>
      </c>
      <c r="AC105" s="17">
        <f t="shared" si="49"/>
        <v>0.81072545425867459</v>
      </c>
      <c r="AD105" s="17">
        <f t="shared" si="50"/>
        <v>0.92620127274161879</v>
      </c>
      <c r="AE105" s="17">
        <f t="shared" si="51"/>
        <v>0.75</v>
      </c>
      <c r="AF105" s="17">
        <v>6340</v>
      </c>
      <c r="AG105" s="17">
        <v>3830</v>
      </c>
      <c r="AH105" s="17">
        <f t="shared" si="37"/>
        <v>2.2453367700000001E-2</v>
      </c>
      <c r="AI105" s="17">
        <f t="shared" si="52"/>
        <v>5139.9993799999966</v>
      </c>
      <c r="AJ105" s="17">
        <f t="shared" si="38"/>
        <v>2872.5</v>
      </c>
      <c r="AK105" s="17">
        <v>2.2453367700000002</v>
      </c>
      <c r="AL105" s="17">
        <v>4148.3999000000003</v>
      </c>
      <c r="AM105" s="20" t="str">
        <f t="shared" si="39"/>
        <v>II</v>
      </c>
      <c r="AN105" s="20"/>
      <c r="AO105" s="18">
        <f t="shared" si="60"/>
        <v>0.81072545425867459</v>
      </c>
      <c r="AP105" s="10" t="str">
        <f t="shared" si="61"/>
        <v>Daño del 0-15%</v>
      </c>
      <c r="AQ105" s="19" t="str">
        <f t="shared" ca="1" si="55"/>
        <v>D:\1. Pozos\11. Noviembre\4. DT-96\images\sec_max_pen_T104.png</v>
      </c>
      <c r="AR105" s="19" t="str">
        <f t="shared" ca="1" si="56"/>
        <v>D:\1. Pozos\11. Noviembre\4. DT-96\images\sec_max_res_T104.png</v>
      </c>
      <c r="AS105" s="10" t="str">
        <f t="shared" ca="1" si="57"/>
        <v>D:\1. Pozos\11. Noviembre\4. DT-96\images\104.emf</v>
      </c>
      <c r="AT105" s="19" t="str">
        <f t="shared" ca="1" si="58"/>
        <v>D:\1. Pozos\11. Noviembre\4. DT-96\images\GraficaIntegradaT104.png</v>
      </c>
    </row>
    <row r="106" spans="1:46" x14ac:dyDescent="0.25">
      <c r="A106" s="10" t="str">
        <f t="shared" si="31"/>
        <v>Well-1</v>
      </c>
      <c r="B106" s="10" t="str">
        <f t="shared" si="32"/>
        <v>Exploratorio</v>
      </c>
      <c r="C106" s="10" t="str">
        <f t="shared" si="33"/>
        <v>Colombia</v>
      </c>
      <c r="D106" s="10" t="str">
        <f t="shared" si="34"/>
        <v>State</v>
      </c>
      <c r="E106" s="10" t="str">
        <f t="shared" si="35"/>
        <v>Ecopetrol</v>
      </c>
      <c r="F106" s="10" t="s">
        <v>246</v>
      </c>
      <c r="G106" s="16" t="str">
        <f t="shared" si="36"/>
        <v>24/5/2022</v>
      </c>
      <c r="H106" s="10">
        <v>7</v>
      </c>
      <c r="I106" s="10">
        <v>6.3659999999999997</v>
      </c>
      <c r="J106" s="10">
        <f t="shared" si="44"/>
        <v>0.31700000000000017</v>
      </c>
      <c r="K106" s="10">
        <v>105</v>
      </c>
      <c r="L106" s="21">
        <v>4187.134</v>
      </c>
      <c r="M106" s="21">
        <v>4202</v>
      </c>
      <c r="N106" s="13">
        <v>14.866</v>
      </c>
      <c r="O106" s="10">
        <v>6.3195004499999996</v>
      </c>
      <c r="P106" s="11">
        <v>4200.7002000000002</v>
      </c>
      <c r="Q106" s="12">
        <v>0.34699988399999998</v>
      </c>
      <c r="R106" s="12">
        <v>10.301920900000001</v>
      </c>
      <c r="S106" s="12">
        <v>4187.1000999999997</v>
      </c>
      <c r="T106" s="12">
        <v>0.30232715599999999</v>
      </c>
      <c r="U106" s="10">
        <v>6.4809999500000002</v>
      </c>
      <c r="V106" s="13">
        <v>4198.8999000000003</v>
      </c>
      <c r="W106" s="12">
        <v>0.25950002700000002</v>
      </c>
      <c r="X106" s="12">
        <v>18.1387711</v>
      </c>
      <c r="Y106" s="17" t="str">
        <f t="shared" si="59"/>
        <v>I</v>
      </c>
      <c r="Z106" s="17">
        <f t="shared" si="46"/>
        <v>18.138792744479531</v>
      </c>
      <c r="AA106" s="17">
        <f t="shared" si="47"/>
        <v>2.5555738349539947</v>
      </c>
      <c r="AB106" s="17">
        <f t="shared" si="48"/>
        <v>1.8778758216561275</v>
      </c>
      <c r="AC106" s="17">
        <f t="shared" si="49"/>
        <v>0.81861207255520474</v>
      </c>
      <c r="AD106" s="17">
        <f t="shared" si="50"/>
        <v>0.93110620891719365</v>
      </c>
      <c r="AE106" s="17">
        <f t="shared" si="51"/>
        <v>0.76</v>
      </c>
      <c r="AF106" s="17">
        <v>6340</v>
      </c>
      <c r="AG106" s="17">
        <v>3830</v>
      </c>
      <c r="AH106" s="17">
        <f t="shared" si="37"/>
        <v>1.9355772699999999E-2</v>
      </c>
      <c r="AI106" s="17">
        <f t="shared" si="52"/>
        <v>5190.0005399999982</v>
      </c>
      <c r="AJ106" s="17">
        <f t="shared" si="38"/>
        <v>2910.8</v>
      </c>
      <c r="AK106" s="17">
        <v>1.93557727</v>
      </c>
      <c r="AL106" s="17">
        <v>4202</v>
      </c>
      <c r="AM106" s="20" t="str">
        <f t="shared" si="39"/>
        <v>I</v>
      </c>
      <c r="AN106" s="20"/>
      <c r="AO106" s="18">
        <f t="shared" si="60"/>
        <v>0.81861207255520474</v>
      </c>
      <c r="AP106" s="10" t="str">
        <f t="shared" si="61"/>
        <v>Daño del 0-15%</v>
      </c>
      <c r="AQ106" s="19" t="str">
        <f t="shared" ca="1" si="55"/>
        <v>D:\1. Pozos\11. Noviembre\4. DT-96\images\sec_max_pen_T105.png</v>
      </c>
      <c r="AR106" s="19" t="str">
        <f t="shared" ca="1" si="56"/>
        <v>D:\1. Pozos\11. Noviembre\4. DT-96\images\sec_max_res_T105.png</v>
      </c>
      <c r="AS106" s="10" t="str">
        <f t="shared" ca="1" si="57"/>
        <v>D:\1. Pozos\11. Noviembre\4. DT-96\images\105.emf</v>
      </c>
      <c r="AT106" s="19" t="str">
        <f t="shared" ca="1" si="58"/>
        <v>D:\1. Pozos\11. Noviembre\4. DT-96\images\GraficaIntegradaT105.png</v>
      </c>
    </row>
    <row r="107" spans="1:46" x14ac:dyDescent="0.25">
      <c r="O107" s="12"/>
    </row>
  </sheetData>
  <conditionalFormatting sqref="Y2:AL106">
    <cfRule type="cellIs" dxfId="13" priority="4" operator="equal">
      <formula>"I"</formula>
    </cfRule>
    <cfRule type="cellIs" dxfId="12" priority="5" operator="equal">
      <formula>"II"</formula>
    </cfRule>
    <cfRule type="cellIs" dxfId="11" priority="6" operator="equal">
      <formula>"III"</formula>
    </cfRule>
    <cfRule type="cellIs" dxfId="10" priority="7" operator="equal">
      <formula>"IV"</formula>
    </cfRule>
    <cfRule type="cellIs" dxfId="9" priority="8" operator="equal">
      <formula>"V"</formula>
    </cfRule>
  </conditionalFormatting>
  <conditionalFormatting sqref="AM2:AN106">
    <cfRule type="cellIs" dxfId="8" priority="1" operator="equal">
      <formula>"I"</formula>
    </cfRule>
    <cfRule type="cellIs" dxfId="7" priority="2" operator="equal">
      <formula>"II"</formula>
    </cfRule>
    <cfRule type="cellIs" dxfId="6" priority="3" operator="equal">
      <formula>"III"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topLeftCell="B1" workbookViewId="0">
      <selection activeCell="C22" sqref="C22"/>
    </sheetView>
  </sheetViews>
  <sheetFormatPr baseColWidth="10" defaultColWidth="11.25" defaultRowHeight="15.75" x14ac:dyDescent="0.25"/>
  <cols>
    <col min="1" max="1" width="17.5" bestFit="1" customWidth="1"/>
    <col min="2" max="2" width="16.625" bestFit="1" customWidth="1"/>
    <col min="3" max="3" width="20.375" customWidth="1"/>
  </cols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22</v>
      </c>
      <c r="B2" t="s">
        <v>26</v>
      </c>
      <c r="C2" t="s">
        <v>415</v>
      </c>
    </row>
    <row r="3" spans="1:3" x14ac:dyDescent="0.25">
      <c r="A3" t="s">
        <v>27</v>
      </c>
      <c r="B3" t="s">
        <v>28</v>
      </c>
      <c r="C3" t="s">
        <v>245</v>
      </c>
    </row>
    <row r="4" spans="1:3" x14ac:dyDescent="0.25">
      <c r="A4" t="s">
        <v>29</v>
      </c>
      <c r="B4" t="s">
        <v>30</v>
      </c>
      <c r="C4" t="s">
        <v>242</v>
      </c>
    </row>
    <row r="5" spans="1:3" x14ac:dyDescent="0.25">
      <c r="A5" t="s">
        <v>31</v>
      </c>
      <c r="B5" t="s">
        <v>32</v>
      </c>
      <c r="C5" t="s">
        <v>33</v>
      </c>
    </row>
    <row r="6" spans="1:3" x14ac:dyDescent="0.25">
      <c r="A6" t="s">
        <v>59</v>
      </c>
      <c r="B6" t="s">
        <v>60</v>
      </c>
      <c r="C6" t="s">
        <v>416</v>
      </c>
    </row>
    <row r="7" spans="1:3" x14ac:dyDescent="0.25">
      <c r="A7" t="s">
        <v>61</v>
      </c>
      <c r="B7" t="s">
        <v>62</v>
      </c>
      <c r="C7" t="s">
        <v>12</v>
      </c>
    </row>
    <row r="9" spans="1:3" x14ac:dyDescent="0.25">
      <c r="A9" t="s">
        <v>34</v>
      </c>
      <c r="B9" t="s">
        <v>35</v>
      </c>
      <c r="C9">
        <v>40</v>
      </c>
    </row>
    <row r="10" spans="1:3" x14ac:dyDescent="0.25">
      <c r="A10" t="s">
        <v>20</v>
      </c>
      <c r="B10" t="s">
        <v>36</v>
      </c>
      <c r="C10">
        <v>9.625</v>
      </c>
    </row>
    <row r="11" spans="1:3" x14ac:dyDescent="0.25">
      <c r="A11" t="s">
        <v>21</v>
      </c>
      <c r="B11" t="s">
        <v>37</v>
      </c>
      <c r="C11">
        <v>8.6809999999999992</v>
      </c>
    </row>
    <row r="12" spans="1:3" x14ac:dyDescent="0.25">
      <c r="A12" t="s">
        <v>38</v>
      </c>
      <c r="B12" t="s">
        <v>39</v>
      </c>
      <c r="C12" s="7" t="s">
        <v>418</v>
      </c>
    </row>
    <row r="13" spans="1:3" x14ac:dyDescent="0.25">
      <c r="A13" t="s">
        <v>40</v>
      </c>
      <c r="B13" t="s">
        <v>41</v>
      </c>
      <c r="C13" t="s">
        <v>417</v>
      </c>
    </row>
    <row r="14" spans="1:3" x14ac:dyDescent="0.25">
      <c r="A14" t="s">
        <v>17</v>
      </c>
      <c r="B14" t="s">
        <v>42</v>
      </c>
      <c r="C14" s="1">
        <v>8</v>
      </c>
    </row>
    <row r="15" spans="1:3" x14ac:dyDescent="0.25">
      <c r="A15" t="s">
        <v>18</v>
      </c>
      <c r="B15" t="s">
        <v>43</v>
      </c>
      <c r="C15" s="1">
        <v>12254</v>
      </c>
    </row>
    <row r="16" spans="1:3" x14ac:dyDescent="0.25">
      <c r="A16" t="s">
        <v>19</v>
      </c>
      <c r="B16" t="s">
        <v>44</v>
      </c>
      <c r="C16" s="2">
        <f>C15-C14</f>
        <v>12246</v>
      </c>
    </row>
    <row r="17" spans="1:13" x14ac:dyDescent="0.25">
      <c r="A17" t="s">
        <v>45</v>
      </c>
      <c r="B17" t="s">
        <v>46</v>
      </c>
      <c r="C17">
        <v>301</v>
      </c>
      <c r="M17" t="e">
        <f ca="1">OFFSET(Tabla!#REF!,0,0,COUNTA(Tabla!$L:$L),0)</f>
        <v>#REF!</v>
      </c>
    </row>
    <row r="18" spans="1:13" x14ac:dyDescent="0.25">
      <c r="A18" t="s">
        <v>243</v>
      </c>
      <c r="B18" t="s">
        <v>244</v>
      </c>
      <c r="C18">
        <f>COUNTIF(Tabla!$Y:$Y,"V")</f>
        <v>2</v>
      </c>
    </row>
    <row r="19" spans="1:13" x14ac:dyDescent="0.25">
      <c r="A19" t="s">
        <v>16</v>
      </c>
      <c r="B19" t="s">
        <v>47</v>
      </c>
      <c r="C19">
        <f>COUNTIF(Tabla!$Y:$Y,"IV")</f>
        <v>8</v>
      </c>
      <c r="M19">
        <f>COUNTA(Tabla!$L:$L)</f>
        <v>106</v>
      </c>
    </row>
    <row r="20" spans="1:13" x14ac:dyDescent="0.25">
      <c r="A20" t="s">
        <v>15</v>
      </c>
      <c r="B20" t="s">
        <v>48</v>
      </c>
      <c r="C20">
        <f>COUNTIF(Tabla!$Y:$Y,"III")</f>
        <v>4</v>
      </c>
      <c r="D20">
        <v>11</v>
      </c>
    </row>
    <row r="21" spans="1:13" x14ac:dyDescent="0.25">
      <c r="A21" t="s">
        <v>185</v>
      </c>
      <c r="B21" t="s">
        <v>49</v>
      </c>
      <c r="C21">
        <f>COUNTIF(Tabla!$Y:$Y,"II")</f>
        <v>28</v>
      </c>
    </row>
    <row r="22" spans="1:13" x14ac:dyDescent="0.25">
      <c r="A22" t="s">
        <v>14</v>
      </c>
      <c r="B22" t="s">
        <v>50</v>
      </c>
      <c r="C22">
        <f>COUNTIF(Tabla!$Y:$Y,"I")</f>
        <v>63</v>
      </c>
    </row>
    <row r="23" spans="1:13" x14ac:dyDescent="0.25">
      <c r="A23" t="s">
        <v>51</v>
      </c>
      <c r="B23" t="s">
        <v>52</v>
      </c>
      <c r="C23" t="e">
        <f>INDEX(Tabla!$K:$AO,MATCH(MIN(Tabla!#REF!),Tabla!#REF!,),1)</f>
        <v>#REF!</v>
      </c>
    </row>
    <row r="24" spans="1:13" x14ac:dyDescent="0.25">
      <c r="A24" t="s">
        <v>53</v>
      </c>
      <c r="B24" t="s">
        <v>54</v>
      </c>
      <c r="C24" s="3" t="e">
        <f>INDEX(Tabla!$K:$AO,MATCH(MIN(Tabla!#REF!),Tabla!#REF!,),15)</f>
        <v>#REF!</v>
      </c>
    </row>
    <row r="25" spans="1:13" x14ac:dyDescent="0.25">
      <c r="A25" t="s">
        <v>55</v>
      </c>
      <c r="B25" t="s">
        <v>56</v>
      </c>
      <c r="C25" t="e">
        <f>INDEX(Tabla!$K:$AO,MATCH(MIN(Tabla!#REF!),Tabla!#REF!,),16)</f>
        <v>#REF!</v>
      </c>
    </row>
    <row r="26" spans="1:13" x14ac:dyDescent="0.25">
      <c r="A26" t="s">
        <v>57</v>
      </c>
      <c r="B26" t="s">
        <v>58</v>
      </c>
      <c r="C26" s="4" t="e">
        <f>INDEX(Tabla!$K:$AO,MATCH(MIN(Tabla!#REF!),Tabla!#REF!,),17)</f>
        <v>#REF!</v>
      </c>
      <c r="F26" t="e">
        <f>MATCH(MIN(Tabla!#REF!),Tabla!#REF!,)</f>
        <v>#REF!</v>
      </c>
    </row>
    <row r="28" spans="1:13" x14ac:dyDescent="0.25">
      <c r="A28" t="s">
        <v>181</v>
      </c>
      <c r="B28" t="s">
        <v>182</v>
      </c>
      <c r="C28" t="str">
        <f ca="1">MID(CELL("nombrearchivo",$A$1),1,SEARCH("[",CELL("nombrearchivo",$A$1),1)-1)</f>
        <v>D:\1. Pozos\11. Noviembre\4. DT-96\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7"/>
  <sheetViews>
    <sheetView workbookViewId="0">
      <selection activeCell="G9" sqref="G9"/>
    </sheetView>
  </sheetViews>
  <sheetFormatPr baseColWidth="10" defaultColWidth="11.25" defaultRowHeight="15.75" x14ac:dyDescent="0.25"/>
  <cols>
    <col min="1" max="1" width="5.5" style="10" bestFit="1" customWidth="1"/>
    <col min="2" max="2" width="9.125" style="13" customWidth="1"/>
    <col min="3" max="3" width="9.25" style="13" customWidth="1"/>
    <col min="4" max="4" width="8.25" style="13" customWidth="1"/>
    <col min="5" max="5" width="8.25" style="10" hidden="1" customWidth="1"/>
    <col min="6" max="6" width="6.625" style="10" customWidth="1"/>
    <col min="7" max="7" width="9.875" style="10" customWidth="1"/>
    <col min="8" max="8" width="25.375" style="10" customWidth="1"/>
    <col min="9" max="9" width="11" style="10" bestFit="1"/>
  </cols>
  <sheetData>
    <row r="1" spans="1:9" ht="37.5" customHeight="1" x14ac:dyDescent="0.25">
      <c r="A1" s="8" t="s">
        <v>64</v>
      </c>
      <c r="B1" s="9" t="s">
        <v>65</v>
      </c>
      <c r="C1" s="9" t="s">
        <v>66</v>
      </c>
      <c r="D1" s="9" t="s">
        <v>7</v>
      </c>
      <c r="E1" s="8" t="s">
        <v>8</v>
      </c>
      <c r="F1" s="8" t="s">
        <v>67</v>
      </c>
      <c r="G1" s="8" t="s">
        <v>186</v>
      </c>
      <c r="H1" s="8" t="s">
        <v>68</v>
      </c>
    </row>
    <row r="2" spans="1:9" x14ac:dyDescent="0.25">
      <c r="A2" s="10" t="s">
        <v>69</v>
      </c>
      <c r="B2" s="11">
        <v>-19.44257</v>
      </c>
      <c r="C2" s="11">
        <v>-0.43433100000000002</v>
      </c>
      <c r="D2" s="11" t="str">
        <f>IF((E2)&lt;2%,"I",IF((E2)&lt;5%,"II","III"))</f>
        <v>I</v>
      </c>
      <c r="E2" s="14">
        <f>(F2/100)</f>
        <v>4.6317154199999998E-3</v>
      </c>
      <c r="F2" s="13">
        <v>0.46317154199999999</v>
      </c>
      <c r="G2" s="13">
        <v>-3.3599999</v>
      </c>
      <c r="H2" s="10" t="str">
        <f t="shared" ref="H2:H65" si="0">"Ovalidad  maxima del "&amp;TEXT(E2,"0.00%")</f>
        <v>Ovalidad  maxima del 0.46%</v>
      </c>
      <c r="I2" s="12"/>
    </row>
    <row r="3" spans="1:9" x14ac:dyDescent="0.25">
      <c r="A3" s="10" t="s">
        <v>70</v>
      </c>
      <c r="B3" s="11">
        <v>34.160079000000003</v>
      </c>
      <c r="C3" s="11">
        <v>65.401750000000007</v>
      </c>
      <c r="D3" s="11" t="str">
        <f t="shared" ref="D3:D66" si="1">IF((E3)&lt;2%,"I",IF((E3)&lt;5%,"II","III"))</f>
        <v>I</v>
      </c>
      <c r="E3" s="14">
        <f t="shared" ref="E3:E66" si="2">(F3/100)</f>
        <v>7.0279336000000003E-3</v>
      </c>
      <c r="F3" s="13">
        <v>0.70279336000000003</v>
      </c>
      <c r="G3" s="13">
        <v>47.040000900000003</v>
      </c>
      <c r="H3" s="10" t="str">
        <f t="shared" si="0"/>
        <v>Ovalidad  maxima del 0.70%</v>
      </c>
      <c r="I3" s="12"/>
    </row>
    <row r="4" spans="1:9" x14ac:dyDescent="0.25">
      <c r="A4" s="10" t="s">
        <v>71</v>
      </c>
      <c r="B4" s="11">
        <v>66.362253999999993</v>
      </c>
      <c r="C4" s="11">
        <v>97.452265999999995</v>
      </c>
      <c r="D4" s="11" t="str">
        <f t="shared" si="1"/>
        <v>I</v>
      </c>
      <c r="E4" s="14">
        <f t="shared" si="2"/>
        <v>5.90466976E-3</v>
      </c>
      <c r="F4" s="13">
        <v>0.59046697599999998</v>
      </c>
      <c r="G4" s="13">
        <v>86.269996599999999</v>
      </c>
      <c r="H4" s="10" t="str">
        <f t="shared" si="0"/>
        <v>Ovalidad  maxima del 0.59%</v>
      </c>
      <c r="I4" s="12"/>
    </row>
    <row r="5" spans="1:9" x14ac:dyDescent="0.25">
      <c r="A5" s="10" t="s">
        <v>72</v>
      </c>
      <c r="B5" s="11">
        <v>98.463323000000003</v>
      </c>
      <c r="C5" s="11">
        <v>130.68000799999999</v>
      </c>
      <c r="D5" s="11" t="str">
        <f t="shared" si="1"/>
        <v>I</v>
      </c>
      <c r="E5" s="14">
        <f t="shared" si="2"/>
        <v>4.4516584299999998E-3</v>
      </c>
      <c r="F5" s="13">
        <v>0.44516584300000001</v>
      </c>
      <c r="G5" s="13">
        <v>130.64999399999999</v>
      </c>
      <c r="H5" s="10" t="str">
        <f t="shared" si="0"/>
        <v>Ovalidad  maxima del 0.45%</v>
      </c>
      <c r="I5" s="12"/>
    </row>
    <row r="6" spans="1:9" x14ac:dyDescent="0.25">
      <c r="A6" s="10" t="s">
        <v>73</v>
      </c>
      <c r="B6" s="11">
        <v>131.590946</v>
      </c>
      <c r="C6" s="11">
        <v>162.927212</v>
      </c>
      <c r="D6" s="11" t="str">
        <f t="shared" si="1"/>
        <v>I</v>
      </c>
      <c r="E6" s="14">
        <f t="shared" si="2"/>
        <v>5.6737417000000002E-3</v>
      </c>
      <c r="F6" s="13">
        <v>0.56737417000000001</v>
      </c>
      <c r="G6" s="13">
        <v>142.35000600000001</v>
      </c>
      <c r="H6" s="10" t="str">
        <f t="shared" si="0"/>
        <v>Ovalidad  maxima del 0.57%</v>
      </c>
      <c r="I6" s="12"/>
    </row>
    <row r="7" spans="1:9" x14ac:dyDescent="0.25">
      <c r="A7" s="10" t="s">
        <v>74</v>
      </c>
      <c r="B7" s="11">
        <v>163.777421</v>
      </c>
      <c r="C7" s="11">
        <v>196.57118800000001</v>
      </c>
      <c r="D7" s="11" t="str">
        <f t="shared" si="1"/>
        <v>I</v>
      </c>
      <c r="E7" s="14">
        <f t="shared" si="2"/>
        <v>6.6271394500000006E-3</v>
      </c>
      <c r="F7" s="13">
        <v>0.66271394500000003</v>
      </c>
      <c r="G7" s="13">
        <v>173.11000100000001</v>
      </c>
      <c r="H7" s="10" t="str">
        <f t="shared" si="0"/>
        <v>Ovalidad  maxima del 0.66%</v>
      </c>
      <c r="I7" s="12"/>
    </row>
    <row r="8" spans="1:9" x14ac:dyDescent="0.25">
      <c r="A8" s="10" t="s">
        <v>75</v>
      </c>
      <c r="B8" s="11">
        <v>197.60358400000001</v>
      </c>
      <c r="C8" s="11">
        <v>230.15443500000001</v>
      </c>
      <c r="D8" s="11" t="str">
        <f t="shared" si="1"/>
        <v>I</v>
      </c>
      <c r="E8" s="14">
        <f t="shared" si="2"/>
        <v>1.2741900699999999E-2</v>
      </c>
      <c r="F8" s="13">
        <v>1.27419007</v>
      </c>
      <c r="G8" s="13">
        <v>222.199997</v>
      </c>
      <c r="H8" s="10" t="str">
        <f t="shared" si="0"/>
        <v>Ovalidad  maxima del 1.27%</v>
      </c>
      <c r="I8" s="12"/>
    </row>
    <row r="9" spans="1:9" x14ac:dyDescent="0.25">
      <c r="A9" s="10" t="s">
        <v>76</v>
      </c>
      <c r="B9" s="11">
        <v>231.06537299999999</v>
      </c>
      <c r="C9" s="11">
        <v>263.37330600000001</v>
      </c>
      <c r="D9" s="11" t="str">
        <f t="shared" si="1"/>
        <v>I</v>
      </c>
      <c r="E9" s="14">
        <f t="shared" si="2"/>
        <v>8.7368988999999998E-3</v>
      </c>
      <c r="F9" s="13">
        <v>0.87368988999999997</v>
      </c>
      <c r="G9" s="13">
        <v>244.479996</v>
      </c>
      <c r="H9" s="10" t="str">
        <f t="shared" si="0"/>
        <v>Ovalidad  maxima del 0.87%</v>
      </c>
      <c r="I9" s="12"/>
    </row>
    <row r="10" spans="1:9" x14ac:dyDescent="0.25">
      <c r="A10" s="10" t="s">
        <v>77</v>
      </c>
      <c r="B10" s="11">
        <v>264.16278599999998</v>
      </c>
      <c r="C10" s="11">
        <v>297.19946900000002</v>
      </c>
      <c r="D10" s="11" t="str">
        <f t="shared" si="1"/>
        <v>I</v>
      </c>
      <c r="E10" s="14">
        <f t="shared" si="2"/>
        <v>1.33614254E-2</v>
      </c>
      <c r="F10" s="13">
        <v>1.33614254</v>
      </c>
      <c r="G10" s="13">
        <v>293.97000100000002</v>
      </c>
      <c r="H10" s="10" t="str">
        <f t="shared" si="0"/>
        <v>Ovalidad  maxima del 1.34%</v>
      </c>
      <c r="I10" s="12"/>
    </row>
    <row r="11" spans="1:9" x14ac:dyDescent="0.25">
      <c r="A11" s="10" t="s">
        <v>78</v>
      </c>
      <c r="B11" s="11">
        <v>298.17113699999999</v>
      </c>
      <c r="C11" s="11">
        <v>330.11469499999998</v>
      </c>
      <c r="D11" s="11" t="str">
        <f t="shared" si="1"/>
        <v>I</v>
      </c>
      <c r="E11" s="14">
        <f t="shared" si="2"/>
        <v>7.9030931000000013E-3</v>
      </c>
      <c r="F11" s="13">
        <v>0.79030931000000004</v>
      </c>
      <c r="G11" s="13">
        <v>310.80999800000001</v>
      </c>
      <c r="H11" s="10" t="str">
        <f t="shared" si="0"/>
        <v>Ovalidad  maxima del 0.79%</v>
      </c>
      <c r="I11" s="12"/>
    </row>
    <row r="12" spans="1:9" x14ac:dyDescent="0.25">
      <c r="A12" s="10" t="s">
        <v>79</v>
      </c>
      <c r="B12" s="11">
        <v>330.90417400000001</v>
      </c>
      <c r="C12" s="11">
        <v>363.02992</v>
      </c>
      <c r="D12" s="11" t="str">
        <f t="shared" si="1"/>
        <v>I</v>
      </c>
      <c r="E12" s="14">
        <f t="shared" si="2"/>
        <v>7.855099439999999E-3</v>
      </c>
      <c r="F12" s="13">
        <v>0.78550994399999996</v>
      </c>
      <c r="G12" s="13">
        <v>362.27999899999998</v>
      </c>
      <c r="H12" s="10" t="str">
        <f t="shared" si="0"/>
        <v>Ovalidad  maxima del 0.79%</v>
      </c>
      <c r="I12" s="12"/>
    </row>
    <row r="13" spans="1:9" x14ac:dyDescent="0.25">
      <c r="A13" s="10" t="s">
        <v>80</v>
      </c>
      <c r="B13" s="11">
        <v>364.12304599999999</v>
      </c>
      <c r="C13" s="11">
        <v>396.97754200000003</v>
      </c>
      <c r="D13" s="11" t="str">
        <f t="shared" si="1"/>
        <v>I</v>
      </c>
      <c r="E13" s="14">
        <f t="shared" si="2"/>
        <v>1.4809148299999998E-2</v>
      </c>
      <c r="F13" s="13">
        <v>1.4809148299999999</v>
      </c>
      <c r="G13" s="13">
        <v>391.69000199999999</v>
      </c>
      <c r="H13" s="10" t="str">
        <f t="shared" si="0"/>
        <v>Ovalidad  maxima del 1.48%</v>
      </c>
      <c r="I13" s="12"/>
    </row>
    <row r="14" spans="1:9" x14ac:dyDescent="0.25">
      <c r="A14" s="10" t="s">
        <v>81</v>
      </c>
      <c r="B14" s="11">
        <v>398.00993899999997</v>
      </c>
      <c r="C14" s="11">
        <v>430.925164</v>
      </c>
      <c r="D14" s="11" t="str">
        <f t="shared" si="1"/>
        <v>I</v>
      </c>
      <c r="E14" s="14">
        <f t="shared" si="2"/>
        <v>9.0191978199999998E-3</v>
      </c>
      <c r="F14" s="13">
        <v>0.901919782</v>
      </c>
      <c r="G14" s="13">
        <v>415.61999500000002</v>
      </c>
      <c r="H14" s="10" t="str">
        <f t="shared" si="0"/>
        <v>Ovalidad  maxima del 0.90%</v>
      </c>
      <c r="I14" s="12"/>
    </row>
    <row r="15" spans="1:9" x14ac:dyDescent="0.25">
      <c r="A15" s="10" t="s">
        <v>82</v>
      </c>
      <c r="B15" s="11">
        <v>431.89683100000002</v>
      </c>
      <c r="C15" s="11">
        <v>464.87278600000002</v>
      </c>
      <c r="D15" s="11" t="str">
        <f t="shared" si="1"/>
        <v>I</v>
      </c>
      <c r="E15" s="14">
        <f t="shared" si="2"/>
        <v>8.3056604900000001E-3</v>
      </c>
      <c r="F15" s="13">
        <v>0.83056604899999997</v>
      </c>
      <c r="G15" s="13">
        <v>462.41000400000001</v>
      </c>
      <c r="H15" s="10" t="str">
        <f t="shared" si="0"/>
        <v>Ovalidad  maxima del 0.83%</v>
      </c>
      <c r="I15" s="12"/>
    </row>
    <row r="16" spans="1:9" x14ac:dyDescent="0.25">
      <c r="A16" s="10" t="s">
        <v>83</v>
      </c>
      <c r="B16" s="11">
        <v>465.78372400000001</v>
      </c>
      <c r="C16" s="11">
        <v>498.45603199999999</v>
      </c>
      <c r="D16" s="11" t="str">
        <f t="shared" si="1"/>
        <v>I</v>
      </c>
      <c r="E16" s="14">
        <f t="shared" si="2"/>
        <v>5.5507337999999998E-3</v>
      </c>
      <c r="F16" s="13">
        <v>0.55507337999999995</v>
      </c>
      <c r="G16" s="13">
        <v>496.92999300000002</v>
      </c>
      <c r="H16" s="10" t="str">
        <f t="shared" si="0"/>
        <v>Ovalidad  maxima del 0.56%</v>
      </c>
      <c r="I16" s="12"/>
    </row>
    <row r="17" spans="1:9" x14ac:dyDescent="0.25">
      <c r="A17" s="10" t="s">
        <v>84</v>
      </c>
      <c r="B17" s="11">
        <v>499.670616</v>
      </c>
      <c r="C17" s="11">
        <v>532.52511300000003</v>
      </c>
      <c r="D17" s="11" t="str">
        <f t="shared" si="1"/>
        <v>I</v>
      </c>
      <c r="E17" s="14">
        <f t="shared" si="2"/>
        <v>8.3920496700000003E-3</v>
      </c>
      <c r="F17" s="13">
        <v>0.83920496700000002</v>
      </c>
      <c r="G17" s="13">
        <v>530.40002400000003</v>
      </c>
      <c r="H17" s="10" t="str">
        <f t="shared" si="0"/>
        <v>Ovalidad  maxima del 0.84%</v>
      </c>
      <c r="I17" s="12"/>
    </row>
    <row r="18" spans="1:9" x14ac:dyDescent="0.25">
      <c r="A18" s="10" t="s">
        <v>85</v>
      </c>
      <c r="B18" s="11">
        <v>533.31459199999995</v>
      </c>
      <c r="C18" s="11">
        <v>565.86544200000003</v>
      </c>
      <c r="D18" s="11" t="str">
        <f t="shared" si="1"/>
        <v>I</v>
      </c>
      <c r="E18" s="14">
        <f t="shared" si="2"/>
        <v>4.4072294200000004E-3</v>
      </c>
      <c r="F18" s="13">
        <v>0.44072294200000001</v>
      </c>
      <c r="G18" s="13">
        <v>533.34997599999997</v>
      </c>
      <c r="H18" s="10" t="str">
        <f t="shared" si="0"/>
        <v>Ovalidad  maxima del 0.44%</v>
      </c>
      <c r="I18" s="12"/>
    </row>
    <row r="19" spans="1:9" x14ac:dyDescent="0.25">
      <c r="A19" s="10" t="s">
        <v>86</v>
      </c>
      <c r="B19" s="11">
        <v>566.95856800000001</v>
      </c>
      <c r="C19" s="11">
        <v>600.05598099999997</v>
      </c>
      <c r="D19" s="11" t="str">
        <f t="shared" si="1"/>
        <v>I</v>
      </c>
      <c r="E19" s="14">
        <f t="shared" si="2"/>
        <v>7.6277315599999999E-3</v>
      </c>
      <c r="F19" s="13">
        <v>0.76277315599999995</v>
      </c>
      <c r="G19" s="13">
        <v>597.40002400000003</v>
      </c>
      <c r="H19" s="10" t="str">
        <f t="shared" si="0"/>
        <v>Ovalidad  maxima del 0.76%</v>
      </c>
      <c r="I19" s="12"/>
    </row>
    <row r="20" spans="1:9" x14ac:dyDescent="0.25">
      <c r="A20" s="10" t="s">
        <v>87</v>
      </c>
      <c r="B20" s="11">
        <v>601.08837700000004</v>
      </c>
      <c r="C20" s="11">
        <v>633.821415</v>
      </c>
      <c r="D20" s="11" t="str">
        <f t="shared" si="1"/>
        <v>I</v>
      </c>
      <c r="E20" s="14">
        <f t="shared" si="2"/>
        <v>1.1314016600000001E-2</v>
      </c>
      <c r="F20" s="13">
        <v>1.1314016600000001</v>
      </c>
      <c r="G20" s="13">
        <v>618.60998500000005</v>
      </c>
      <c r="H20" s="10" t="str">
        <f t="shared" si="0"/>
        <v>Ovalidad  maxima del 1.13%</v>
      </c>
      <c r="I20" s="12"/>
    </row>
    <row r="21" spans="1:9" x14ac:dyDescent="0.25">
      <c r="A21" s="10" t="s">
        <v>88</v>
      </c>
      <c r="B21" s="11">
        <v>634.73235299999999</v>
      </c>
      <c r="C21" s="11">
        <v>667.52611999999999</v>
      </c>
      <c r="D21" s="11" t="str">
        <f t="shared" si="1"/>
        <v>I</v>
      </c>
      <c r="E21" s="14">
        <f t="shared" si="2"/>
        <v>6.9675987999999996E-3</v>
      </c>
      <c r="F21" s="13">
        <v>0.69675988</v>
      </c>
      <c r="G21" s="13">
        <v>663.90997300000004</v>
      </c>
      <c r="H21" s="10" t="str">
        <f t="shared" si="0"/>
        <v>Ovalidad  maxima del 0.70%</v>
      </c>
      <c r="I21" s="12"/>
    </row>
    <row r="22" spans="1:9" x14ac:dyDescent="0.25">
      <c r="A22" s="10" t="s">
        <v>89</v>
      </c>
      <c r="B22" s="11">
        <v>668.49778800000001</v>
      </c>
      <c r="C22" s="11">
        <v>699.773325</v>
      </c>
      <c r="D22" s="11" t="str">
        <f t="shared" si="1"/>
        <v>I</v>
      </c>
      <c r="E22" s="14">
        <f t="shared" si="2"/>
        <v>4.0399163999999994E-3</v>
      </c>
      <c r="F22" s="13">
        <v>0.40399163999999999</v>
      </c>
      <c r="G22" s="13">
        <v>695.919983</v>
      </c>
      <c r="H22" s="10" t="str">
        <f t="shared" si="0"/>
        <v>Ovalidad  maxima del 0.40%</v>
      </c>
      <c r="I22" s="12"/>
    </row>
    <row r="23" spans="1:9" x14ac:dyDescent="0.25">
      <c r="A23" s="10" t="s">
        <v>90</v>
      </c>
      <c r="B23" s="11">
        <v>700.68426299999999</v>
      </c>
      <c r="C23" s="11">
        <v>732.32417499999997</v>
      </c>
      <c r="D23" s="11" t="str">
        <f t="shared" si="1"/>
        <v>I</v>
      </c>
      <c r="E23" s="14">
        <f t="shared" si="2"/>
        <v>6.3155025200000003E-3</v>
      </c>
      <c r="F23" s="13">
        <v>0.63155025200000003</v>
      </c>
      <c r="G23" s="13">
        <v>730.84002699999996</v>
      </c>
      <c r="H23" s="10" t="str">
        <f t="shared" si="0"/>
        <v>Ovalidad  maxima del 0.63%</v>
      </c>
      <c r="I23" s="12"/>
    </row>
    <row r="24" spans="1:9" x14ac:dyDescent="0.25">
      <c r="A24" s="10" t="s">
        <v>91</v>
      </c>
      <c r="B24" s="11">
        <v>733.35657100000003</v>
      </c>
      <c r="C24" s="11">
        <v>766.21106699999996</v>
      </c>
      <c r="D24" s="11" t="str">
        <f t="shared" si="1"/>
        <v>I</v>
      </c>
      <c r="E24" s="14">
        <f t="shared" si="2"/>
        <v>1.2782979000000002E-2</v>
      </c>
      <c r="F24" s="13">
        <v>1.2782979000000001</v>
      </c>
      <c r="G24" s="13">
        <v>762.17999299999997</v>
      </c>
      <c r="H24" s="10" t="str">
        <f t="shared" si="0"/>
        <v>Ovalidad  maxima del 1.28%</v>
      </c>
      <c r="I24" s="12"/>
    </row>
    <row r="25" spans="1:9" x14ac:dyDescent="0.25">
      <c r="A25" s="10" t="s">
        <v>92</v>
      </c>
      <c r="B25" s="11">
        <v>767.30419300000005</v>
      </c>
      <c r="C25" s="11">
        <v>799.79431399999999</v>
      </c>
      <c r="D25" s="11" t="str">
        <f t="shared" si="1"/>
        <v>I</v>
      </c>
      <c r="E25" s="14">
        <f t="shared" si="2"/>
        <v>9.4106733799999998E-3</v>
      </c>
      <c r="F25" s="13">
        <v>0.94106733799999998</v>
      </c>
      <c r="G25" s="13">
        <v>788.69000200000005</v>
      </c>
      <c r="H25" s="10" t="str">
        <f t="shared" si="0"/>
        <v>Ovalidad  maxima del 0.94%</v>
      </c>
    </row>
    <row r="26" spans="1:9" x14ac:dyDescent="0.25">
      <c r="A26" s="10" t="s">
        <v>93</v>
      </c>
      <c r="B26" s="11">
        <v>800.82671000000005</v>
      </c>
      <c r="C26" s="11">
        <v>833.68120699999997</v>
      </c>
      <c r="D26" s="11" t="str">
        <f t="shared" si="1"/>
        <v>I</v>
      </c>
      <c r="E26" s="14">
        <f t="shared" si="2"/>
        <v>8.7486159799999991E-3</v>
      </c>
      <c r="F26" s="13">
        <v>0.87486159799999996</v>
      </c>
      <c r="G26" s="13">
        <v>828.48999000000003</v>
      </c>
      <c r="H26" s="10" t="str">
        <f t="shared" si="0"/>
        <v>Ovalidad  maxima del 0.87%</v>
      </c>
    </row>
    <row r="27" spans="1:9" x14ac:dyDescent="0.25">
      <c r="A27" s="10" t="s">
        <v>94</v>
      </c>
      <c r="B27" s="11">
        <v>834.652874</v>
      </c>
      <c r="C27" s="11">
        <v>866.35351500000002</v>
      </c>
      <c r="D27" s="11" t="str">
        <f t="shared" si="1"/>
        <v>I</v>
      </c>
      <c r="E27" s="14">
        <f t="shared" si="2"/>
        <v>4.28072065E-3</v>
      </c>
      <c r="F27" s="13">
        <v>0.428072065</v>
      </c>
      <c r="G27" s="13">
        <v>861.65997300000004</v>
      </c>
      <c r="H27" s="10" t="str">
        <f t="shared" si="0"/>
        <v>Ovalidad  maxima del 0.43%</v>
      </c>
    </row>
    <row r="28" spans="1:9" x14ac:dyDescent="0.25">
      <c r="A28" s="10" t="s">
        <v>95</v>
      </c>
      <c r="B28" s="11">
        <v>867.50737000000004</v>
      </c>
      <c r="C28" s="11">
        <v>900.36186599999996</v>
      </c>
      <c r="D28" s="11" t="str">
        <f t="shared" si="1"/>
        <v>I</v>
      </c>
      <c r="E28" s="14">
        <f t="shared" si="2"/>
        <v>4.44820374E-3</v>
      </c>
      <c r="F28" s="13">
        <v>0.44482037400000002</v>
      </c>
      <c r="G28" s="13">
        <v>895.89001499999995</v>
      </c>
      <c r="H28" s="10" t="str">
        <f t="shared" si="0"/>
        <v>Ovalidad  maxima del 0.44%</v>
      </c>
    </row>
    <row r="29" spans="1:9" x14ac:dyDescent="0.25">
      <c r="A29" s="10" t="s">
        <v>96</v>
      </c>
      <c r="B29" s="11">
        <v>901.51572099999998</v>
      </c>
      <c r="C29" s="11">
        <v>932.36615400000005</v>
      </c>
      <c r="D29" s="11" t="str">
        <f t="shared" si="1"/>
        <v>I</v>
      </c>
      <c r="E29" s="14">
        <f t="shared" si="2"/>
        <v>1.0032502400000001E-2</v>
      </c>
      <c r="F29" s="13">
        <v>1.0032502400000001</v>
      </c>
      <c r="G29" s="13">
        <v>918.38000499999998</v>
      </c>
      <c r="H29" s="10" t="str">
        <f t="shared" si="0"/>
        <v>Ovalidad  maxima del 1.00%</v>
      </c>
    </row>
    <row r="30" spans="1:9" x14ac:dyDescent="0.25">
      <c r="A30" s="10" t="s">
        <v>97</v>
      </c>
      <c r="B30" s="11">
        <v>933.45927900000004</v>
      </c>
      <c r="C30" s="11">
        <v>963.27731600000004</v>
      </c>
      <c r="D30" s="11" t="str">
        <f t="shared" si="1"/>
        <v>I</v>
      </c>
      <c r="E30" s="14">
        <f t="shared" si="2"/>
        <v>9.48798478E-3</v>
      </c>
      <c r="F30" s="13">
        <v>0.94879847799999995</v>
      </c>
      <c r="G30" s="13">
        <v>955.71997099999999</v>
      </c>
      <c r="H30" s="10" t="str">
        <f t="shared" si="0"/>
        <v>Ovalidad  maxima del 0.95%</v>
      </c>
    </row>
    <row r="31" spans="1:9" x14ac:dyDescent="0.25">
      <c r="A31" s="10" t="s">
        <v>98</v>
      </c>
      <c r="B31" s="11">
        <v>964.37044100000003</v>
      </c>
      <c r="C31" s="11">
        <v>996.92129199999999</v>
      </c>
      <c r="D31" s="11" t="str">
        <f t="shared" si="1"/>
        <v>I</v>
      </c>
      <c r="E31" s="14">
        <f t="shared" si="2"/>
        <v>8.1116795500000005E-3</v>
      </c>
      <c r="F31" s="13">
        <v>0.81116795500000005</v>
      </c>
      <c r="G31" s="13">
        <v>973.64001499999995</v>
      </c>
      <c r="H31" s="10" t="str">
        <f t="shared" si="0"/>
        <v>Ovalidad  maxima del 0.81%</v>
      </c>
    </row>
    <row r="32" spans="1:9" x14ac:dyDescent="0.25">
      <c r="A32" s="10" t="s">
        <v>99</v>
      </c>
      <c r="B32" s="11">
        <v>997.89295900000002</v>
      </c>
      <c r="C32" s="11">
        <v>1029.7757899999999</v>
      </c>
      <c r="D32" s="11" t="str">
        <f t="shared" si="1"/>
        <v>I</v>
      </c>
      <c r="E32" s="14">
        <f t="shared" si="2"/>
        <v>1.0589922700000001E-2</v>
      </c>
      <c r="F32" s="13">
        <v>1.0589922700000001</v>
      </c>
      <c r="G32" s="13">
        <v>1016.16998</v>
      </c>
      <c r="H32" s="10" t="str">
        <f t="shared" si="0"/>
        <v>Ovalidad  maxima del 1.06%</v>
      </c>
    </row>
    <row r="33" spans="1:8" x14ac:dyDescent="0.25">
      <c r="A33" s="10" t="s">
        <v>100</v>
      </c>
      <c r="B33" s="11">
        <v>1031.1118300000001</v>
      </c>
      <c r="C33" s="11">
        <v>1063.60195</v>
      </c>
      <c r="D33" s="11" t="str">
        <f t="shared" si="1"/>
        <v>I</v>
      </c>
      <c r="E33" s="14">
        <f t="shared" si="2"/>
        <v>1.0644016300000001E-2</v>
      </c>
      <c r="F33" s="13">
        <v>1.0644016300000001</v>
      </c>
      <c r="G33" s="13">
        <v>1060.56006</v>
      </c>
      <c r="H33" s="10" t="str">
        <f t="shared" si="0"/>
        <v>Ovalidad  maxima del 1.06%</v>
      </c>
    </row>
    <row r="34" spans="1:8" x14ac:dyDescent="0.25">
      <c r="A34" s="10" t="s">
        <v>101</v>
      </c>
      <c r="B34" s="11">
        <v>1064.8165300000001</v>
      </c>
      <c r="C34" s="11">
        <v>1097.7317599999999</v>
      </c>
      <c r="D34" s="11" t="str">
        <f t="shared" si="1"/>
        <v>I</v>
      </c>
      <c r="E34" s="14">
        <f t="shared" si="2"/>
        <v>8.1404763500000001E-3</v>
      </c>
      <c r="F34" s="13">
        <v>0.81404763499999999</v>
      </c>
      <c r="G34" s="13">
        <v>1075.4699700000001</v>
      </c>
      <c r="H34" s="10" t="str">
        <f t="shared" si="0"/>
        <v>Ovalidad  maxima del 0.81%</v>
      </c>
    </row>
    <row r="35" spans="1:8" x14ac:dyDescent="0.25">
      <c r="A35" s="10" t="s">
        <v>102</v>
      </c>
      <c r="B35" s="11">
        <v>1098.70343</v>
      </c>
      <c r="C35" s="11">
        <v>1130.5255299999999</v>
      </c>
      <c r="D35" s="11" t="str">
        <f t="shared" si="1"/>
        <v>I</v>
      </c>
      <c r="E35" s="14">
        <f t="shared" si="2"/>
        <v>9.7576969900000001E-3</v>
      </c>
      <c r="F35" s="13">
        <v>0.97576969899999999</v>
      </c>
      <c r="G35" s="13">
        <v>1112.65002</v>
      </c>
      <c r="H35" s="10" t="str">
        <f t="shared" si="0"/>
        <v>Ovalidad  maxima del 0.98%</v>
      </c>
    </row>
    <row r="36" spans="1:8" x14ac:dyDescent="0.25">
      <c r="A36" s="10" t="s">
        <v>103</v>
      </c>
      <c r="B36" s="11">
        <v>1131.74011</v>
      </c>
      <c r="C36" s="11">
        <v>1164.4124200000001</v>
      </c>
      <c r="D36" s="11" t="str">
        <f t="shared" si="1"/>
        <v>I</v>
      </c>
      <c r="E36" s="14">
        <f t="shared" si="2"/>
        <v>1.11754453E-2</v>
      </c>
      <c r="F36" s="13">
        <v>1.11754453</v>
      </c>
      <c r="G36" s="13">
        <v>1163.1099899999999</v>
      </c>
      <c r="H36" s="10" t="str">
        <f t="shared" si="0"/>
        <v>Ovalidad  maxima del 1.12%</v>
      </c>
    </row>
    <row r="37" spans="1:8" x14ac:dyDescent="0.25">
      <c r="A37" s="10" t="s">
        <v>104</v>
      </c>
      <c r="B37" s="11">
        <v>1165.56627</v>
      </c>
      <c r="C37" s="11">
        <v>1195.9916000000001</v>
      </c>
      <c r="D37" s="11" t="str">
        <f t="shared" si="1"/>
        <v>I</v>
      </c>
      <c r="E37" s="14">
        <f t="shared" si="2"/>
        <v>8.6126488400000006E-3</v>
      </c>
      <c r="F37" s="13">
        <v>0.86126488400000001</v>
      </c>
      <c r="G37" s="13">
        <v>1195.6400100000001</v>
      </c>
      <c r="H37" s="10" t="str">
        <f t="shared" si="0"/>
        <v>Ovalidad  maxima del 0.86%</v>
      </c>
    </row>
    <row r="38" spans="1:8" x14ac:dyDescent="0.25">
      <c r="A38" s="10" t="s">
        <v>105</v>
      </c>
      <c r="B38" s="11">
        <v>1197.0239999999999</v>
      </c>
      <c r="C38" s="11">
        <v>1228.66391</v>
      </c>
      <c r="D38" s="11" t="str">
        <f t="shared" si="1"/>
        <v>I</v>
      </c>
      <c r="E38" s="14">
        <f t="shared" si="2"/>
        <v>8.4424954700000002E-3</v>
      </c>
      <c r="F38" s="13">
        <v>0.84424954699999999</v>
      </c>
      <c r="G38" s="13">
        <v>1218.82996</v>
      </c>
      <c r="H38" s="10" t="str">
        <f t="shared" si="0"/>
        <v>Ovalidad  maxima del 0.84%</v>
      </c>
    </row>
    <row r="39" spans="1:8" x14ac:dyDescent="0.25">
      <c r="A39" s="10" t="s">
        <v>106</v>
      </c>
      <c r="B39" s="11">
        <v>1229.6355799999999</v>
      </c>
      <c r="C39" s="11">
        <v>1261.3362199999999</v>
      </c>
      <c r="D39" s="11" t="str">
        <f t="shared" si="1"/>
        <v>I</v>
      </c>
      <c r="E39" s="14">
        <f t="shared" si="2"/>
        <v>5.6595092999999997E-3</v>
      </c>
      <c r="F39" s="13">
        <v>0.56595092999999996</v>
      </c>
      <c r="G39" s="13">
        <v>1254.2099599999999</v>
      </c>
      <c r="H39" s="10" t="str">
        <f t="shared" si="0"/>
        <v>Ovalidad  maxima del 0.57%</v>
      </c>
    </row>
    <row r="40" spans="1:8" x14ac:dyDescent="0.25">
      <c r="A40" s="10" t="s">
        <v>107</v>
      </c>
      <c r="B40" s="11">
        <v>1262.4293500000001</v>
      </c>
      <c r="C40" s="11">
        <v>1293.5227</v>
      </c>
      <c r="D40" s="11" t="str">
        <f t="shared" si="1"/>
        <v>I</v>
      </c>
      <c r="E40" s="14">
        <f t="shared" si="2"/>
        <v>7.2392666299999995E-3</v>
      </c>
      <c r="F40" s="13">
        <v>0.72392666299999997</v>
      </c>
      <c r="G40" s="13">
        <v>1293.3199500000001</v>
      </c>
      <c r="H40" s="10" t="str">
        <f t="shared" si="0"/>
        <v>Ovalidad  maxima del 0.72%</v>
      </c>
    </row>
    <row r="41" spans="1:8" x14ac:dyDescent="0.25">
      <c r="A41" s="10" t="s">
        <v>108</v>
      </c>
      <c r="B41" s="11">
        <v>1294.6765499999999</v>
      </c>
      <c r="C41" s="11">
        <v>1325.04115</v>
      </c>
      <c r="D41" s="11" t="str">
        <f t="shared" si="1"/>
        <v>I</v>
      </c>
      <c r="E41" s="14">
        <f t="shared" si="2"/>
        <v>1.16920841E-2</v>
      </c>
      <c r="F41" s="13">
        <v>1.16920841</v>
      </c>
      <c r="G41" s="13">
        <v>1320.32996</v>
      </c>
      <c r="H41" s="10" t="str">
        <f t="shared" si="0"/>
        <v>Ovalidad  maxima del 1.17%</v>
      </c>
    </row>
    <row r="42" spans="1:8" x14ac:dyDescent="0.25">
      <c r="A42" s="10" t="s">
        <v>109</v>
      </c>
      <c r="B42" s="11">
        <v>1326.2557300000001</v>
      </c>
      <c r="C42" s="11">
        <v>1358.6851300000001</v>
      </c>
      <c r="D42" s="11" t="str">
        <f t="shared" si="1"/>
        <v>I</v>
      </c>
      <c r="E42" s="14">
        <f t="shared" si="2"/>
        <v>7.2308129099999995E-3</v>
      </c>
      <c r="F42" s="13">
        <v>0.72308129099999996</v>
      </c>
      <c r="G42" s="13">
        <v>1358.0500500000001</v>
      </c>
      <c r="H42" s="10" t="str">
        <f t="shared" si="0"/>
        <v>Ovalidad  maxima del 0.72%</v>
      </c>
    </row>
    <row r="43" spans="1:8" x14ac:dyDescent="0.25">
      <c r="A43" s="10" t="s">
        <v>110</v>
      </c>
      <c r="B43" s="11">
        <v>1359.8997099999999</v>
      </c>
      <c r="C43" s="11">
        <v>1391.904</v>
      </c>
      <c r="D43" s="11" t="str">
        <f t="shared" si="1"/>
        <v>I</v>
      </c>
      <c r="E43" s="14">
        <f t="shared" si="2"/>
        <v>7.5772762299999999E-3</v>
      </c>
      <c r="F43" s="13">
        <v>0.75772762299999996</v>
      </c>
      <c r="G43" s="13">
        <v>1381.08997</v>
      </c>
      <c r="H43" s="10" t="str">
        <f t="shared" si="0"/>
        <v>Ovalidad  maxima del 0.76%</v>
      </c>
    </row>
    <row r="44" spans="1:8" x14ac:dyDescent="0.25">
      <c r="A44" s="10" t="s">
        <v>111</v>
      </c>
      <c r="B44" s="11">
        <v>1393.3007700000001</v>
      </c>
      <c r="C44" s="11">
        <v>1425.1836000000001</v>
      </c>
      <c r="D44" s="11" t="str">
        <f t="shared" si="1"/>
        <v>I</v>
      </c>
      <c r="E44" s="14">
        <f t="shared" si="2"/>
        <v>9.7189128399999998E-3</v>
      </c>
      <c r="F44" s="13">
        <v>0.97189128400000002</v>
      </c>
      <c r="G44" s="13">
        <v>1403.08997</v>
      </c>
      <c r="H44" s="10" t="str">
        <f t="shared" si="0"/>
        <v>Ovalidad  maxima del 0.97%</v>
      </c>
    </row>
    <row r="45" spans="1:8" x14ac:dyDescent="0.25">
      <c r="A45" s="10" t="s">
        <v>112</v>
      </c>
      <c r="B45" s="11">
        <v>1426.2159899999999</v>
      </c>
      <c r="C45" s="11">
        <v>1459.13122</v>
      </c>
      <c r="D45" s="11" t="str">
        <f t="shared" si="1"/>
        <v>I</v>
      </c>
      <c r="E45" s="14">
        <f t="shared" si="2"/>
        <v>1.13583004E-2</v>
      </c>
      <c r="F45" s="13">
        <v>1.1358300400000001</v>
      </c>
      <c r="G45" s="13">
        <v>1427.4699700000001</v>
      </c>
      <c r="H45" s="10" t="str">
        <f t="shared" si="0"/>
        <v>Ovalidad  maxima del 1.14%</v>
      </c>
    </row>
    <row r="46" spans="1:8" x14ac:dyDescent="0.25">
      <c r="A46" s="10" t="s">
        <v>113</v>
      </c>
      <c r="B46" s="11">
        <v>1460.22435</v>
      </c>
      <c r="C46" s="11">
        <v>1492.83592</v>
      </c>
      <c r="D46" s="11" t="str">
        <f t="shared" si="1"/>
        <v>I</v>
      </c>
      <c r="E46" s="14">
        <f t="shared" si="2"/>
        <v>9.5613992199999991E-3</v>
      </c>
      <c r="F46" s="13">
        <v>0.95613992199999998</v>
      </c>
      <c r="G46" s="13">
        <v>1478.66003</v>
      </c>
      <c r="H46" s="10" t="str">
        <f t="shared" si="0"/>
        <v>Ovalidad  maxima del 0.96%</v>
      </c>
    </row>
    <row r="47" spans="1:8" x14ac:dyDescent="0.25">
      <c r="A47" s="10" t="s">
        <v>114</v>
      </c>
      <c r="B47" s="11">
        <v>1493.9897800000001</v>
      </c>
      <c r="C47" s="11">
        <v>1526.6013600000001</v>
      </c>
      <c r="D47" s="11" t="str">
        <f t="shared" si="1"/>
        <v>I</v>
      </c>
      <c r="E47" s="14">
        <f t="shared" si="2"/>
        <v>8.4210294500000008E-3</v>
      </c>
      <c r="F47" s="13">
        <v>0.84210294500000005</v>
      </c>
      <c r="G47" s="13">
        <v>1522.9300499999999</v>
      </c>
      <c r="H47" s="10" t="str">
        <f t="shared" si="0"/>
        <v>Ovalidad  maxima del 0.84%</v>
      </c>
    </row>
    <row r="48" spans="1:8" x14ac:dyDescent="0.25">
      <c r="A48" s="10" t="s">
        <v>115</v>
      </c>
      <c r="B48" s="11">
        <v>1527.75521</v>
      </c>
      <c r="C48" s="11">
        <v>1558.4841899999999</v>
      </c>
      <c r="D48" s="11" t="str">
        <f t="shared" si="1"/>
        <v>I</v>
      </c>
      <c r="E48" s="14">
        <f t="shared" si="2"/>
        <v>9.2406642399999999E-3</v>
      </c>
      <c r="F48" s="13">
        <v>0.92406642400000005</v>
      </c>
      <c r="G48" s="13">
        <v>1529.25</v>
      </c>
      <c r="H48" s="10" t="str">
        <f t="shared" si="0"/>
        <v>Ovalidad  maxima del 0.92%</v>
      </c>
    </row>
    <row r="49" spans="1:8" x14ac:dyDescent="0.25">
      <c r="A49" s="10" t="s">
        <v>116</v>
      </c>
      <c r="B49" s="11">
        <v>1559.5773099999999</v>
      </c>
      <c r="C49" s="11">
        <v>1592.12816</v>
      </c>
      <c r="D49" s="11" t="str">
        <f t="shared" si="1"/>
        <v>I</v>
      </c>
      <c r="E49" s="14">
        <f t="shared" si="2"/>
        <v>9.8915803400000009E-3</v>
      </c>
      <c r="F49" s="13">
        <v>0.98915803400000002</v>
      </c>
      <c r="G49" s="13">
        <v>1590.32996</v>
      </c>
      <c r="H49" s="10" t="str">
        <f t="shared" si="0"/>
        <v>Ovalidad  maxima del 0.99%</v>
      </c>
    </row>
    <row r="50" spans="1:8" x14ac:dyDescent="0.25">
      <c r="A50" s="10" t="s">
        <v>117</v>
      </c>
      <c r="B50" s="11">
        <v>1593.2820200000001</v>
      </c>
      <c r="C50" s="11">
        <v>1624.3146400000001</v>
      </c>
      <c r="D50" s="11" t="str">
        <f t="shared" si="1"/>
        <v>I</v>
      </c>
      <c r="E50" s="14">
        <f t="shared" si="2"/>
        <v>1.1301825000000001E-2</v>
      </c>
      <c r="F50" s="13">
        <v>1.1301825000000001</v>
      </c>
      <c r="G50" s="13">
        <v>1607.51001</v>
      </c>
      <c r="H50" s="10" t="str">
        <f t="shared" si="0"/>
        <v>Ovalidad  maxima del 1.13%</v>
      </c>
    </row>
    <row r="51" spans="1:8" x14ac:dyDescent="0.25">
      <c r="A51" s="10" t="s">
        <v>118</v>
      </c>
      <c r="B51" s="11">
        <v>1625.4077600000001</v>
      </c>
      <c r="C51" s="11">
        <v>1656.7440300000001</v>
      </c>
      <c r="D51" s="11" t="str">
        <f t="shared" si="1"/>
        <v>I</v>
      </c>
      <c r="E51" s="14">
        <f t="shared" si="2"/>
        <v>1.1165085999999999E-2</v>
      </c>
      <c r="F51" s="13">
        <v>1.1165086</v>
      </c>
      <c r="G51" s="13">
        <v>1635.4599599999999</v>
      </c>
      <c r="H51" s="10" t="str">
        <f t="shared" si="0"/>
        <v>Ovalidad  maxima del 1.12%</v>
      </c>
    </row>
    <row r="52" spans="1:8" x14ac:dyDescent="0.25">
      <c r="A52" s="10" t="s">
        <v>119</v>
      </c>
      <c r="B52" s="11">
        <v>1657.7764299999999</v>
      </c>
      <c r="C52" s="11">
        <v>1689.78071</v>
      </c>
      <c r="D52" s="11" t="str">
        <f t="shared" si="1"/>
        <v>I</v>
      </c>
      <c r="E52" s="14">
        <f t="shared" si="2"/>
        <v>8.1502497200000006E-3</v>
      </c>
      <c r="F52" s="13">
        <v>0.81502497200000001</v>
      </c>
      <c r="G52" s="13">
        <v>1677.87</v>
      </c>
      <c r="H52" s="10" t="str">
        <f t="shared" si="0"/>
        <v>Ovalidad  maxima del 0.82%</v>
      </c>
    </row>
    <row r="53" spans="1:8" x14ac:dyDescent="0.25">
      <c r="A53" s="10" t="s">
        <v>120</v>
      </c>
      <c r="B53" s="11">
        <v>1690.9345699999999</v>
      </c>
      <c r="C53" s="11">
        <v>1723.60688</v>
      </c>
      <c r="D53" s="11" t="str">
        <f t="shared" si="1"/>
        <v>I</v>
      </c>
      <c r="E53" s="14">
        <f t="shared" si="2"/>
        <v>7.7836829399999998E-3</v>
      </c>
      <c r="F53" s="13">
        <v>0.77836829399999996</v>
      </c>
      <c r="G53" s="13">
        <v>1712.2099599999999</v>
      </c>
      <c r="H53" s="10" t="str">
        <f t="shared" si="0"/>
        <v>Ovalidad  maxima del 0.78%</v>
      </c>
    </row>
    <row r="54" spans="1:8" x14ac:dyDescent="0.25">
      <c r="A54" s="10" t="s">
        <v>121</v>
      </c>
      <c r="B54" s="11">
        <v>1724.8214599999999</v>
      </c>
      <c r="C54" s="11">
        <v>1756.0362700000001</v>
      </c>
      <c r="D54" s="11" t="str">
        <f t="shared" si="1"/>
        <v>I</v>
      </c>
      <c r="E54" s="14">
        <f t="shared" si="2"/>
        <v>1.06090343E-2</v>
      </c>
      <c r="F54" s="13">
        <v>1.06090343</v>
      </c>
      <c r="G54" s="13">
        <v>1740.9599599999999</v>
      </c>
      <c r="H54" s="10" t="str">
        <f t="shared" si="0"/>
        <v>Ovalidad  maxima del 1.06%</v>
      </c>
    </row>
    <row r="55" spans="1:8" x14ac:dyDescent="0.25">
      <c r="A55" s="10" t="s">
        <v>122</v>
      </c>
      <c r="B55" s="11">
        <v>1757.0686700000001</v>
      </c>
      <c r="C55" s="11">
        <v>1785.5506600000001</v>
      </c>
      <c r="D55" s="11" t="str">
        <f t="shared" si="1"/>
        <v>I</v>
      </c>
      <c r="E55" s="14">
        <f t="shared" si="2"/>
        <v>8.7188661099999992E-3</v>
      </c>
      <c r="F55" s="13">
        <v>0.87188661099999998</v>
      </c>
      <c r="G55" s="13">
        <v>1770.84998</v>
      </c>
      <c r="H55" s="10" t="str">
        <f t="shared" si="0"/>
        <v>Ovalidad  maxima del 0.87%</v>
      </c>
    </row>
    <row r="56" spans="1:8" x14ac:dyDescent="0.25">
      <c r="A56" s="10" t="s">
        <v>123</v>
      </c>
      <c r="B56" s="11">
        <v>1786.6437900000001</v>
      </c>
      <c r="C56" s="11">
        <v>1819.1946399999999</v>
      </c>
      <c r="D56" s="11" t="str">
        <f t="shared" si="1"/>
        <v>I</v>
      </c>
      <c r="E56" s="14">
        <f t="shared" si="2"/>
        <v>7.2829073700000002E-3</v>
      </c>
      <c r="F56" s="13">
        <v>0.72829073700000002</v>
      </c>
      <c r="G56" s="13">
        <v>1819.16003</v>
      </c>
      <c r="H56" s="10" t="str">
        <f t="shared" si="0"/>
        <v>Ovalidad  maxima del 0.73%</v>
      </c>
    </row>
    <row r="57" spans="1:8" x14ac:dyDescent="0.25">
      <c r="A57" s="10" t="s">
        <v>124</v>
      </c>
      <c r="B57" s="11">
        <v>1820.2877599999999</v>
      </c>
      <c r="C57" s="11">
        <v>1851.8062199999999</v>
      </c>
      <c r="D57" s="11" t="str">
        <f t="shared" si="1"/>
        <v>I</v>
      </c>
      <c r="E57" s="14">
        <f t="shared" si="2"/>
        <v>7.7619361899999998E-3</v>
      </c>
      <c r="F57" s="13">
        <v>0.77619361899999995</v>
      </c>
      <c r="G57" s="13">
        <v>1838.01001</v>
      </c>
      <c r="H57" s="10" t="str">
        <f t="shared" si="0"/>
        <v>Ovalidad  maxima del 0.78%</v>
      </c>
    </row>
    <row r="58" spans="1:8" x14ac:dyDescent="0.25">
      <c r="A58" s="10" t="s">
        <v>125</v>
      </c>
      <c r="B58" s="11">
        <v>1852.83861</v>
      </c>
      <c r="C58" s="11">
        <v>1884.2963400000001</v>
      </c>
      <c r="D58" s="11" t="str">
        <f t="shared" si="1"/>
        <v>I</v>
      </c>
      <c r="E58" s="14">
        <f t="shared" si="2"/>
        <v>7.7465498400000003E-3</v>
      </c>
      <c r="F58" s="13">
        <v>0.77465498399999999</v>
      </c>
      <c r="G58" s="13">
        <v>1869.58997</v>
      </c>
      <c r="H58" s="10" t="str">
        <f t="shared" si="0"/>
        <v>Ovalidad  maxima del 0.77%</v>
      </c>
    </row>
    <row r="59" spans="1:8" x14ac:dyDescent="0.25">
      <c r="A59" s="10" t="s">
        <v>126</v>
      </c>
      <c r="B59" s="11">
        <v>1885.45019</v>
      </c>
      <c r="C59" s="11">
        <v>1917.51521</v>
      </c>
      <c r="D59" s="11" t="str">
        <f t="shared" si="1"/>
        <v>I</v>
      </c>
      <c r="E59" s="14">
        <f t="shared" si="2"/>
        <v>7.6832532899999998E-3</v>
      </c>
      <c r="F59" s="13">
        <v>0.76832532899999995</v>
      </c>
      <c r="G59" s="13">
        <v>1915.84998</v>
      </c>
      <c r="H59" s="10" t="str">
        <f t="shared" si="0"/>
        <v>Ovalidad  maxima del 0.77%</v>
      </c>
    </row>
    <row r="60" spans="1:8" x14ac:dyDescent="0.25">
      <c r="A60" s="10" t="s">
        <v>127</v>
      </c>
      <c r="B60" s="11">
        <v>1918.3654200000001</v>
      </c>
      <c r="C60" s="11">
        <v>1951.1591800000001</v>
      </c>
      <c r="D60" s="11" t="str">
        <f t="shared" si="1"/>
        <v>I</v>
      </c>
      <c r="E60" s="14">
        <f t="shared" si="2"/>
        <v>9.58072305E-3</v>
      </c>
      <c r="F60" s="13">
        <v>0.95807230499999996</v>
      </c>
      <c r="G60" s="13">
        <v>1940.7700199999999</v>
      </c>
      <c r="H60" s="10" t="str">
        <f t="shared" si="0"/>
        <v>Ovalidad  maxima del 0.96%</v>
      </c>
    </row>
    <row r="61" spans="1:8" x14ac:dyDescent="0.25">
      <c r="A61" s="10" t="s">
        <v>128</v>
      </c>
      <c r="B61" s="11">
        <v>1952.2523100000001</v>
      </c>
      <c r="C61" s="11">
        <v>1984.43878</v>
      </c>
      <c r="D61" s="11" t="str">
        <f t="shared" si="1"/>
        <v>I</v>
      </c>
      <c r="E61" s="14">
        <f t="shared" si="2"/>
        <v>1.5517832000000001E-2</v>
      </c>
      <c r="F61" s="13">
        <v>1.5517832</v>
      </c>
      <c r="G61" s="13">
        <v>1978.87</v>
      </c>
      <c r="H61" s="10" t="str">
        <f t="shared" si="0"/>
        <v>Ovalidad  maxima del 1.55%</v>
      </c>
    </row>
    <row r="62" spans="1:8" x14ac:dyDescent="0.25">
      <c r="A62" s="10" t="s">
        <v>129</v>
      </c>
      <c r="B62" s="11">
        <v>1985.3497199999999</v>
      </c>
      <c r="C62" s="11">
        <v>2017.17182</v>
      </c>
      <c r="D62" s="11" t="str">
        <f t="shared" si="1"/>
        <v>I</v>
      </c>
      <c r="E62" s="14">
        <f t="shared" si="2"/>
        <v>1.07622468E-2</v>
      </c>
      <c r="F62" s="13">
        <v>1.0762246799999999</v>
      </c>
      <c r="G62" s="13">
        <v>2006.5500500000001</v>
      </c>
      <c r="H62" s="10" t="str">
        <f t="shared" si="0"/>
        <v>Ovalidad  maxima del 1.08%</v>
      </c>
    </row>
    <row r="63" spans="1:8" x14ac:dyDescent="0.25">
      <c r="A63" s="10" t="s">
        <v>130</v>
      </c>
      <c r="B63" s="11">
        <v>2018.3256799999999</v>
      </c>
      <c r="C63" s="11">
        <v>2050.4514199999999</v>
      </c>
      <c r="D63" s="11" t="str">
        <f t="shared" si="1"/>
        <v>I</v>
      </c>
      <c r="E63" s="14">
        <f t="shared" si="2"/>
        <v>1.6546282799999999E-2</v>
      </c>
      <c r="F63" s="13">
        <v>1.6546282800000001</v>
      </c>
      <c r="G63" s="13">
        <v>2047.32996</v>
      </c>
      <c r="H63" s="10" t="str">
        <f t="shared" si="0"/>
        <v>Ovalidad  maxima del 1.65%</v>
      </c>
    </row>
    <row r="64" spans="1:8" x14ac:dyDescent="0.25">
      <c r="A64" s="10" t="s">
        <v>131</v>
      </c>
      <c r="B64" s="11">
        <v>2051.7267400000001</v>
      </c>
      <c r="C64" s="11">
        <v>2079.9658100000001</v>
      </c>
      <c r="D64" s="11" t="str">
        <f t="shared" si="1"/>
        <v>II</v>
      </c>
      <c r="E64" s="14">
        <f t="shared" si="2"/>
        <v>2.0887339100000003E-2</v>
      </c>
      <c r="F64" s="13">
        <v>2.0887339100000002</v>
      </c>
      <c r="G64" s="13">
        <v>2057.7900399999999</v>
      </c>
      <c r="H64" s="10" t="str">
        <f t="shared" si="0"/>
        <v>Ovalidad  maxima del 2.09%</v>
      </c>
    </row>
    <row r="65" spans="1:8" x14ac:dyDescent="0.25">
      <c r="A65" s="10" t="s">
        <v>132</v>
      </c>
      <c r="B65" s="11">
        <v>2081.11967</v>
      </c>
      <c r="C65" s="11">
        <v>2106.4437400000002</v>
      </c>
      <c r="D65" s="11" t="str">
        <f t="shared" si="1"/>
        <v>I</v>
      </c>
      <c r="E65" s="14">
        <f t="shared" si="2"/>
        <v>1.16780961E-2</v>
      </c>
      <c r="F65" s="13">
        <v>1.1678096099999999</v>
      </c>
      <c r="G65" s="13">
        <v>2087.8601100000001</v>
      </c>
      <c r="H65" s="10" t="str">
        <f t="shared" si="0"/>
        <v>Ovalidad  maxima del 1.17%</v>
      </c>
    </row>
    <row r="66" spans="1:8" x14ac:dyDescent="0.25">
      <c r="A66" s="10" t="s">
        <v>133</v>
      </c>
      <c r="B66" s="11">
        <v>2107.6583300000002</v>
      </c>
      <c r="C66" s="11">
        <v>2139.72334</v>
      </c>
      <c r="D66" s="11" t="str">
        <f t="shared" si="1"/>
        <v>I</v>
      </c>
      <c r="E66" s="14">
        <f t="shared" si="2"/>
        <v>1.4678998E-2</v>
      </c>
      <c r="F66" s="13">
        <v>1.4678998000000001</v>
      </c>
      <c r="G66" s="13">
        <v>2110.3100599999998</v>
      </c>
      <c r="H66" s="10" t="str">
        <f t="shared" ref="H66:H93" si="3">"Ovalidad  maxima del "&amp;TEXT(E66,"0.00%")</f>
        <v>Ovalidad  maxima del 1.47%</v>
      </c>
    </row>
    <row r="67" spans="1:8" x14ac:dyDescent="0.25">
      <c r="A67" s="10" t="s">
        <v>134</v>
      </c>
      <c r="B67" s="11">
        <v>2140.7557400000001</v>
      </c>
      <c r="C67" s="11">
        <v>2168.6304399999999</v>
      </c>
      <c r="D67" s="11" t="str">
        <f t="shared" ref="D67:D93" si="4">IF((E67)&lt;2%,"I",IF((E67)&lt;5%,"II","III"))</f>
        <v>I</v>
      </c>
      <c r="E67" s="14">
        <f t="shared" ref="E67:E93" si="5">(F67/100)</f>
        <v>1.9785565099999999E-2</v>
      </c>
      <c r="F67" s="13">
        <v>1.97855651</v>
      </c>
      <c r="G67" s="13">
        <v>2142.0400399999999</v>
      </c>
      <c r="H67" s="10" t="str">
        <f t="shared" si="3"/>
        <v>Ovalidad  maxima del 1.98%</v>
      </c>
    </row>
    <row r="68" spans="1:8" x14ac:dyDescent="0.25">
      <c r="A68" s="10" t="s">
        <v>135</v>
      </c>
      <c r="B68" s="11">
        <v>2169.66284</v>
      </c>
      <c r="C68" s="11">
        <v>2201.8493100000001</v>
      </c>
      <c r="D68" s="11" t="str">
        <f t="shared" si="4"/>
        <v>I</v>
      </c>
      <c r="E68" s="14">
        <f t="shared" si="5"/>
        <v>1.94605243E-2</v>
      </c>
      <c r="F68" s="13">
        <v>1.9460524299999999</v>
      </c>
      <c r="G68" s="13">
        <v>2189.8998999999999</v>
      </c>
      <c r="H68" s="10" t="str">
        <f t="shared" si="3"/>
        <v>Ovalidad  maxima del 1.95%</v>
      </c>
    </row>
    <row r="69" spans="1:8" x14ac:dyDescent="0.25">
      <c r="A69" s="10" t="s">
        <v>136</v>
      </c>
      <c r="B69" s="11">
        <v>2202.6995200000001</v>
      </c>
      <c r="C69" s="11">
        <v>2232.88193</v>
      </c>
      <c r="D69" s="11" t="str">
        <f t="shared" si="4"/>
        <v>I</v>
      </c>
      <c r="E69" s="14">
        <f t="shared" si="5"/>
        <v>1.7223533400000001E-2</v>
      </c>
      <c r="F69" s="13">
        <v>1.72235334</v>
      </c>
      <c r="G69" s="13">
        <v>2210.5700700000002</v>
      </c>
      <c r="H69" s="10" t="str">
        <f t="shared" si="3"/>
        <v>Ovalidad  maxima del 1.72%</v>
      </c>
    </row>
    <row r="70" spans="1:8" x14ac:dyDescent="0.25">
      <c r="A70" s="10" t="s">
        <v>137</v>
      </c>
      <c r="B70" s="11">
        <v>2234.0357899999999</v>
      </c>
      <c r="C70" s="11">
        <v>2265.4327800000001</v>
      </c>
      <c r="D70" s="11" t="str">
        <f t="shared" si="4"/>
        <v>I</v>
      </c>
      <c r="E70" s="14">
        <f t="shared" si="5"/>
        <v>1.7691384599999999E-2</v>
      </c>
      <c r="F70" s="13">
        <v>1.76913846</v>
      </c>
      <c r="G70" s="13">
        <v>2264.3000499999998</v>
      </c>
      <c r="H70" s="10" t="str">
        <f t="shared" si="3"/>
        <v>Ovalidad  maxima del 1.77%</v>
      </c>
    </row>
    <row r="71" spans="1:8" x14ac:dyDescent="0.25">
      <c r="A71" s="10" t="s">
        <v>138</v>
      </c>
      <c r="B71" s="11">
        <v>2266.58664</v>
      </c>
      <c r="C71" s="11">
        <v>2299.3804100000002</v>
      </c>
      <c r="D71" s="11" t="str">
        <f t="shared" si="4"/>
        <v>I</v>
      </c>
      <c r="E71" s="14">
        <f t="shared" si="5"/>
        <v>9.8279768199999989E-3</v>
      </c>
      <c r="F71" s="13">
        <v>0.98279768199999995</v>
      </c>
      <c r="G71" s="13">
        <v>2282.5700700000002</v>
      </c>
      <c r="H71" s="10" t="str">
        <f t="shared" si="3"/>
        <v>Ovalidad  maxima del 0.98%</v>
      </c>
    </row>
    <row r="72" spans="1:8" x14ac:dyDescent="0.25">
      <c r="A72" s="10" t="s">
        <v>139</v>
      </c>
      <c r="B72" s="11">
        <v>2300.4735300000002</v>
      </c>
      <c r="C72" s="11">
        <v>2330.9595899999999</v>
      </c>
      <c r="D72" s="11" t="str">
        <f t="shared" si="4"/>
        <v>II</v>
      </c>
      <c r="E72" s="14">
        <f t="shared" si="5"/>
        <v>2.0553739100000003E-2</v>
      </c>
      <c r="F72" s="13">
        <v>2.0553739100000001</v>
      </c>
      <c r="G72" s="13">
        <v>2302.3898899999999</v>
      </c>
      <c r="H72" s="10" t="str">
        <f t="shared" si="3"/>
        <v>Ovalidad  maxima del 2.06%</v>
      </c>
    </row>
    <row r="73" spans="1:8" x14ac:dyDescent="0.25">
      <c r="A73" s="10" t="s">
        <v>140</v>
      </c>
      <c r="B73" s="11">
        <v>2331.99199</v>
      </c>
      <c r="C73" s="11">
        <v>2364.60356</v>
      </c>
      <c r="D73" s="11" t="str">
        <f t="shared" si="4"/>
        <v>I</v>
      </c>
      <c r="E73" s="14">
        <f t="shared" si="5"/>
        <v>1.7024379999999999E-2</v>
      </c>
      <c r="F73" s="13">
        <v>1.7024379999999999</v>
      </c>
      <c r="G73" s="13">
        <v>2339.2800299999999</v>
      </c>
      <c r="H73" s="10" t="str">
        <f t="shared" si="3"/>
        <v>Ovalidad  maxima del 1.70%</v>
      </c>
    </row>
    <row r="74" spans="1:8" x14ac:dyDescent="0.25">
      <c r="A74" s="10" t="s">
        <v>141</v>
      </c>
      <c r="B74" s="11">
        <v>2365.6359600000001</v>
      </c>
      <c r="C74" s="11">
        <v>2396.66858</v>
      </c>
      <c r="D74" s="11" t="str">
        <f t="shared" si="4"/>
        <v>II</v>
      </c>
      <c r="E74" s="14">
        <f t="shared" si="5"/>
        <v>2.5525345800000002E-2</v>
      </c>
      <c r="F74" s="13">
        <v>2.5525345800000001</v>
      </c>
      <c r="G74" s="13">
        <v>2378.8898899999999</v>
      </c>
      <c r="H74" s="10" t="str">
        <f t="shared" si="3"/>
        <v>Ovalidad  maxima del 2.55%</v>
      </c>
    </row>
    <row r="75" spans="1:8" x14ac:dyDescent="0.25">
      <c r="A75" s="10" t="s">
        <v>142</v>
      </c>
      <c r="B75" s="11">
        <v>2397.6402499999999</v>
      </c>
      <c r="C75" s="11">
        <v>2429.7660000000001</v>
      </c>
      <c r="D75" s="11" t="str">
        <f t="shared" si="4"/>
        <v>II</v>
      </c>
      <c r="E75" s="14">
        <f t="shared" si="5"/>
        <v>2.46301126E-2</v>
      </c>
      <c r="F75" s="13">
        <v>2.46301126</v>
      </c>
      <c r="G75" s="13">
        <v>2399.37012</v>
      </c>
      <c r="H75" s="10" t="str">
        <f t="shared" si="3"/>
        <v>Ovalidad  maxima del 2.46%</v>
      </c>
    </row>
    <row r="76" spans="1:8" x14ac:dyDescent="0.25">
      <c r="A76" s="10" t="s">
        <v>143</v>
      </c>
      <c r="B76" s="11">
        <v>2430.9198500000002</v>
      </c>
      <c r="C76" s="11">
        <v>2461.6488199999999</v>
      </c>
      <c r="D76" s="11" t="str">
        <f t="shared" si="4"/>
        <v>II</v>
      </c>
      <c r="E76" s="14">
        <f t="shared" si="5"/>
        <v>3.1017508500000002E-2</v>
      </c>
      <c r="F76" s="13">
        <v>3.1017508500000002</v>
      </c>
      <c r="G76" s="13">
        <v>2452.1101100000001</v>
      </c>
      <c r="H76" s="10" t="str">
        <f t="shared" si="3"/>
        <v>Ovalidad  maxima del 3.10%</v>
      </c>
    </row>
    <row r="77" spans="1:8" x14ac:dyDescent="0.25">
      <c r="A77" s="10" t="s">
        <v>144</v>
      </c>
      <c r="B77" s="11">
        <v>2462.7419500000001</v>
      </c>
      <c r="C77" s="11">
        <v>2491.5883199999998</v>
      </c>
      <c r="D77" s="11" t="str">
        <f t="shared" si="4"/>
        <v>II</v>
      </c>
      <c r="E77" s="14">
        <f t="shared" si="5"/>
        <v>2.1098392000000001E-2</v>
      </c>
      <c r="F77" s="13">
        <v>2.1098392000000001</v>
      </c>
      <c r="G77" s="13">
        <v>2462.9799800000001</v>
      </c>
      <c r="H77" s="10" t="str">
        <f t="shared" si="3"/>
        <v>Ovalidad  maxima del 2.11%</v>
      </c>
    </row>
    <row r="78" spans="1:8" x14ac:dyDescent="0.25">
      <c r="A78" s="10" t="s">
        <v>145</v>
      </c>
      <c r="B78" s="11">
        <v>2492.8636299999998</v>
      </c>
      <c r="C78" s="11">
        <v>2525.4752100000001</v>
      </c>
      <c r="D78" s="11" t="str">
        <f t="shared" si="4"/>
        <v>II</v>
      </c>
      <c r="E78" s="14">
        <f t="shared" si="5"/>
        <v>2.9881167400000002E-2</v>
      </c>
      <c r="F78" s="13">
        <v>2.9881167400000002</v>
      </c>
      <c r="G78" s="13">
        <v>2523.51001</v>
      </c>
      <c r="H78" s="10" t="str">
        <f t="shared" si="3"/>
        <v>Ovalidad  maxima del 2.99%</v>
      </c>
    </row>
    <row r="79" spans="1:8" x14ac:dyDescent="0.25">
      <c r="A79" s="10" t="s">
        <v>146</v>
      </c>
      <c r="B79" s="11">
        <v>2526.5683399999998</v>
      </c>
      <c r="C79" s="11">
        <v>2558.8155400000001</v>
      </c>
      <c r="D79" s="11" t="str">
        <f t="shared" si="4"/>
        <v>II</v>
      </c>
      <c r="E79" s="14">
        <f t="shared" si="5"/>
        <v>3.5777280299999999E-2</v>
      </c>
      <c r="F79" s="13">
        <v>3.5777280299999998</v>
      </c>
      <c r="G79" s="13">
        <v>2555.26001</v>
      </c>
      <c r="H79" s="10" t="str">
        <f t="shared" si="3"/>
        <v>Ovalidad  maxima del 3.58%</v>
      </c>
    </row>
    <row r="80" spans="1:8" x14ac:dyDescent="0.25">
      <c r="A80" s="10" t="s">
        <v>147</v>
      </c>
      <c r="B80" s="11">
        <v>2559.9694</v>
      </c>
      <c r="C80" s="11">
        <v>2591.85223</v>
      </c>
      <c r="D80" s="11" t="str">
        <f t="shared" si="4"/>
        <v>II</v>
      </c>
      <c r="E80" s="14">
        <f t="shared" si="5"/>
        <v>3.4179525400000001E-2</v>
      </c>
      <c r="F80" s="13">
        <v>3.4179525399999999</v>
      </c>
      <c r="G80" s="13">
        <v>2577.2299800000001</v>
      </c>
      <c r="H80" s="10" t="str">
        <f t="shared" si="3"/>
        <v>Ovalidad  maxima del 3.42%</v>
      </c>
    </row>
    <row r="81" spans="1:8" x14ac:dyDescent="0.25">
      <c r="A81" s="10" t="s">
        <v>148</v>
      </c>
      <c r="B81" s="11">
        <v>2592.94535</v>
      </c>
      <c r="C81" s="11">
        <v>2625.5569300000002</v>
      </c>
      <c r="D81" s="11" t="str">
        <f t="shared" si="4"/>
        <v>III</v>
      </c>
      <c r="E81" s="14">
        <f t="shared" si="5"/>
        <v>5.3403234499999994E-2</v>
      </c>
      <c r="F81" s="13">
        <v>5.3403234499999996</v>
      </c>
      <c r="G81" s="13">
        <v>2601.7299800000001</v>
      </c>
      <c r="H81" s="10" t="str">
        <f t="shared" si="3"/>
        <v>Ovalidad  maxima del 5.34%</v>
      </c>
    </row>
    <row r="82" spans="1:8" x14ac:dyDescent="0.25">
      <c r="A82" s="10" t="s">
        <v>149</v>
      </c>
      <c r="B82" s="11">
        <v>2626.5893299999998</v>
      </c>
      <c r="C82" s="11">
        <v>2659.5652799999998</v>
      </c>
      <c r="D82" s="11" t="str">
        <f t="shared" si="4"/>
        <v>II</v>
      </c>
      <c r="E82" s="14">
        <f t="shared" si="5"/>
        <v>4.9083733599999999E-2</v>
      </c>
      <c r="F82" s="13">
        <v>4.9083733599999997</v>
      </c>
      <c r="G82" s="13">
        <v>2641.1799299999998</v>
      </c>
      <c r="H82" s="10" t="str">
        <f t="shared" si="3"/>
        <v>Ovalidad  maxima del 4.91%</v>
      </c>
    </row>
    <row r="83" spans="1:8" x14ac:dyDescent="0.25">
      <c r="A83" s="10" t="s">
        <v>150</v>
      </c>
      <c r="B83" s="11">
        <v>2660.47622</v>
      </c>
      <c r="C83" s="11">
        <v>2692.7234199999998</v>
      </c>
      <c r="D83" s="11" t="str">
        <f t="shared" si="4"/>
        <v>II</v>
      </c>
      <c r="E83" s="14">
        <f t="shared" si="5"/>
        <v>4.6440877900000004E-2</v>
      </c>
      <c r="F83" s="13">
        <v>4.6440877900000004</v>
      </c>
      <c r="G83" s="13">
        <v>2672.7199700000001</v>
      </c>
      <c r="H83" s="10" t="str">
        <f t="shared" si="3"/>
        <v>Ovalidad  maxima del 4.64%</v>
      </c>
    </row>
    <row r="84" spans="1:8" x14ac:dyDescent="0.25">
      <c r="A84" s="10" t="s">
        <v>151</v>
      </c>
      <c r="B84" s="11">
        <v>2693.7558199999999</v>
      </c>
      <c r="C84" s="11">
        <v>2725.3957300000002</v>
      </c>
      <c r="D84" s="11" t="str">
        <f t="shared" si="4"/>
        <v>II</v>
      </c>
      <c r="E84" s="14">
        <f t="shared" si="5"/>
        <v>2.13270235E-2</v>
      </c>
      <c r="F84" s="13">
        <v>2.1327023500000002</v>
      </c>
      <c r="G84" s="13">
        <v>2721.8100599999998</v>
      </c>
      <c r="H84" s="10" t="str">
        <f t="shared" si="3"/>
        <v>Ovalidad  maxima del 2.13%</v>
      </c>
    </row>
    <row r="85" spans="1:8" x14ac:dyDescent="0.25">
      <c r="A85" s="10" t="s">
        <v>152</v>
      </c>
      <c r="B85" s="11">
        <v>2726.5495900000001</v>
      </c>
      <c r="C85" s="11">
        <v>2758.1895</v>
      </c>
      <c r="D85" s="11" t="str">
        <f t="shared" si="4"/>
        <v>II</v>
      </c>
      <c r="E85" s="14">
        <f t="shared" si="5"/>
        <v>2.6344614000000002E-2</v>
      </c>
      <c r="F85" s="13">
        <v>2.6344614000000002</v>
      </c>
      <c r="G85" s="13">
        <v>2750.9299299999998</v>
      </c>
      <c r="H85" s="10" t="str">
        <f t="shared" si="3"/>
        <v>Ovalidad  maxima del 2.63%</v>
      </c>
    </row>
    <row r="86" spans="1:8" x14ac:dyDescent="0.25">
      <c r="A86" s="10" t="s">
        <v>153</v>
      </c>
      <c r="B86" s="11">
        <v>2759.3433500000001</v>
      </c>
      <c r="C86" s="11">
        <v>2788.1897199999999</v>
      </c>
      <c r="D86" s="11" t="str">
        <f t="shared" si="4"/>
        <v>II</v>
      </c>
      <c r="E86" s="14">
        <f t="shared" si="5"/>
        <v>2.9579222199999998E-2</v>
      </c>
      <c r="F86" s="13">
        <v>2.9579222199999999</v>
      </c>
      <c r="G86" s="13">
        <v>2784.5300299999999</v>
      </c>
      <c r="H86" s="10" t="str">
        <f t="shared" si="3"/>
        <v>Ovalidad  maxima del 2.96%</v>
      </c>
    </row>
    <row r="87" spans="1:8" x14ac:dyDescent="0.25">
      <c r="A87" s="10" t="s">
        <v>154</v>
      </c>
      <c r="B87" s="11">
        <v>2789.46504</v>
      </c>
      <c r="C87" s="11">
        <v>2819.95109</v>
      </c>
      <c r="D87" s="11" t="str">
        <f t="shared" si="4"/>
        <v>I</v>
      </c>
      <c r="E87" s="14">
        <f t="shared" si="5"/>
        <v>1.7788764200000001E-2</v>
      </c>
      <c r="F87" s="13">
        <v>1.77887642</v>
      </c>
      <c r="G87" s="13">
        <v>2816.7299800000001</v>
      </c>
      <c r="H87" s="10" t="str">
        <f t="shared" si="3"/>
        <v>Ovalidad  maxima del 1.78%</v>
      </c>
    </row>
    <row r="88" spans="1:8" x14ac:dyDescent="0.25">
      <c r="A88" s="10" t="s">
        <v>155</v>
      </c>
      <c r="B88" s="11">
        <v>2821.0442200000002</v>
      </c>
      <c r="C88" s="11">
        <v>2853.5950699999999</v>
      </c>
      <c r="D88" s="11" t="str">
        <f t="shared" si="4"/>
        <v>I</v>
      </c>
      <c r="E88" s="14">
        <f t="shared" si="5"/>
        <v>1.52042568E-2</v>
      </c>
      <c r="F88" s="13">
        <v>1.52042568</v>
      </c>
      <c r="G88" s="13">
        <v>2851.7099600000001</v>
      </c>
      <c r="H88" s="10" t="str">
        <f t="shared" si="3"/>
        <v>Ovalidad  maxima del 1.52%</v>
      </c>
    </row>
    <row r="89" spans="1:8" x14ac:dyDescent="0.25">
      <c r="A89" s="10" t="s">
        <v>156</v>
      </c>
      <c r="B89" s="11">
        <v>2854.6882000000001</v>
      </c>
      <c r="C89" s="11">
        <v>2886.6924800000002</v>
      </c>
      <c r="D89" s="11" t="str">
        <f t="shared" si="4"/>
        <v>II</v>
      </c>
      <c r="E89" s="14">
        <f t="shared" si="5"/>
        <v>2.3961918400000001E-2</v>
      </c>
      <c r="F89" s="13">
        <v>2.3961918400000002</v>
      </c>
      <c r="G89" s="13">
        <v>2885.6498999999999</v>
      </c>
      <c r="H89" s="10" t="str">
        <f t="shared" si="3"/>
        <v>Ovalidad  maxima del 2.40%</v>
      </c>
    </row>
    <row r="90" spans="1:8" x14ac:dyDescent="0.25">
      <c r="A90" s="10" t="s">
        <v>157</v>
      </c>
      <c r="B90" s="11">
        <v>2888.08925</v>
      </c>
      <c r="C90" s="11">
        <v>2918.2109399999999</v>
      </c>
      <c r="D90" s="11" t="str">
        <f t="shared" si="4"/>
        <v>I</v>
      </c>
      <c r="E90" s="14">
        <f t="shared" si="5"/>
        <v>1.7144415399999998E-2</v>
      </c>
      <c r="F90" s="13">
        <v>1.7144415399999999</v>
      </c>
      <c r="G90" s="13">
        <v>2907.8200700000002</v>
      </c>
      <c r="H90" s="10" t="str">
        <f t="shared" si="3"/>
        <v>Ovalidad  maxima del 1.71%</v>
      </c>
    </row>
    <row r="91" spans="1:8" x14ac:dyDescent="0.25">
      <c r="A91" s="10" t="s">
        <v>158</v>
      </c>
      <c r="B91" s="11">
        <v>2919.4255199999998</v>
      </c>
      <c r="C91" s="11">
        <v>2950.0330399999998</v>
      </c>
      <c r="D91" s="11" t="str">
        <f t="shared" si="4"/>
        <v>II</v>
      </c>
      <c r="E91" s="14">
        <f t="shared" si="5"/>
        <v>2.70372462E-2</v>
      </c>
      <c r="F91" s="13">
        <v>2.70372462</v>
      </c>
      <c r="G91" s="13">
        <v>2920.3000499999998</v>
      </c>
      <c r="H91" s="10" t="str">
        <f t="shared" si="3"/>
        <v>Ovalidad  maxima del 2.70%</v>
      </c>
    </row>
    <row r="92" spans="1:8" x14ac:dyDescent="0.25">
      <c r="A92" s="10" t="s">
        <v>159</v>
      </c>
      <c r="B92" s="11">
        <v>2951.2476200000001</v>
      </c>
      <c r="C92" s="11">
        <v>2983.3733699999998</v>
      </c>
      <c r="D92" s="11" t="str">
        <f t="shared" si="4"/>
        <v>II</v>
      </c>
      <c r="E92" s="14">
        <f t="shared" si="5"/>
        <v>2.9001970300000002E-2</v>
      </c>
      <c r="F92" s="13">
        <v>2.9001970300000002</v>
      </c>
      <c r="G92" s="13">
        <v>2981.76001</v>
      </c>
      <c r="H92" s="10" t="str">
        <f t="shared" si="3"/>
        <v>Ovalidad  maxima del 2.90%</v>
      </c>
    </row>
    <row r="93" spans="1:8" x14ac:dyDescent="0.25">
      <c r="A93" s="10" t="s">
        <v>160</v>
      </c>
      <c r="B93" s="11">
        <v>2984.4664899999998</v>
      </c>
      <c r="C93" s="11">
        <v>3012.2804599999999</v>
      </c>
      <c r="D93" s="11" t="str">
        <f t="shared" si="4"/>
        <v>II</v>
      </c>
      <c r="E93" s="14">
        <f t="shared" si="5"/>
        <v>3.15270972E-2</v>
      </c>
      <c r="F93" s="13">
        <v>3.1527097199999998</v>
      </c>
      <c r="G93" s="13">
        <v>2998.98999</v>
      </c>
      <c r="H93" s="10" t="str">
        <f t="shared" si="3"/>
        <v>Ovalidad  maxima del 3.15%</v>
      </c>
    </row>
    <row r="94" spans="1:8" x14ac:dyDescent="0.25">
      <c r="A94" s="10" t="s">
        <v>161</v>
      </c>
      <c r="B94" s="11">
        <v>3013.3735900000001</v>
      </c>
      <c r="C94" s="11">
        <v>3042.28069</v>
      </c>
      <c r="D94" s="11" t="str">
        <f>IF((E94)&lt;2%,"I",IF((E94)&lt;5%,"II","III"))</f>
        <v>II</v>
      </c>
      <c r="E94" s="14">
        <f>(F94/100)</f>
        <v>3.4150731599999998E-2</v>
      </c>
      <c r="F94" s="13">
        <v>3.4150731599999999</v>
      </c>
      <c r="G94" s="13">
        <v>3031.3200700000002</v>
      </c>
      <c r="H94" s="10" t="str">
        <f>"Ovalidad  maxima del "&amp;TEXT(E94,"0.00%")</f>
        <v>Ovalidad  maxima del 3.42%</v>
      </c>
    </row>
    <row r="95" spans="1:8" x14ac:dyDescent="0.25">
      <c r="A95" s="10" t="s">
        <v>162</v>
      </c>
      <c r="B95" s="11">
        <v>3043.37381</v>
      </c>
      <c r="C95" s="11">
        <v>3073.8598699999998</v>
      </c>
      <c r="D95" s="11" t="str">
        <f>IF((E95)&lt;2%,"I",IF((E95)&lt;5%,"II","III"))</f>
        <v>II</v>
      </c>
      <c r="E95" s="14">
        <f>(F95/100)</f>
        <v>2.49112129E-2</v>
      </c>
      <c r="F95" s="13">
        <v>2.4911212900000002</v>
      </c>
      <c r="G95" s="13">
        <v>3063.8300800000002</v>
      </c>
      <c r="H95" s="10" t="str">
        <f>"Ovalidad  maxima del "&amp;TEXT(E95,"0.00%")</f>
        <v>Ovalidad  maxima del 2.49%</v>
      </c>
    </row>
    <row r="96" spans="1:8" x14ac:dyDescent="0.25">
      <c r="A96" s="10" t="s">
        <v>163</v>
      </c>
      <c r="B96" s="11">
        <v>3074.8922699999998</v>
      </c>
      <c r="C96" s="11">
        <v>3105.8034299999999</v>
      </c>
      <c r="D96" s="11" t="str">
        <f>IF((E96)&lt;2%,"I",IF((E96)&lt;5%,"II","III"))</f>
        <v>II</v>
      </c>
      <c r="E96" s="14">
        <f>(F96/100)</f>
        <v>3.2345044600000004E-2</v>
      </c>
      <c r="F96" s="13">
        <v>3.2345044600000001</v>
      </c>
      <c r="G96" s="13">
        <v>3076.5500499999998</v>
      </c>
      <c r="H96" s="10" t="str">
        <f>"Ovalidad  maxima del "&amp;TEXT(E96,"0.00%")</f>
        <v>Ovalidad  maxima del 3.23%</v>
      </c>
    </row>
    <row r="97" spans="1:8" x14ac:dyDescent="0.25">
      <c r="A97" s="10" t="s">
        <v>164</v>
      </c>
      <c r="B97" s="11">
        <v>3106.7143700000001</v>
      </c>
      <c r="C97" s="11">
        <v>3107.8682199999998</v>
      </c>
      <c r="D97" s="11" t="str">
        <f>IF((E97)&lt;2%,"I",IF((E97)&lt;5%,"II","III"))</f>
        <v>I</v>
      </c>
      <c r="E97" s="14">
        <f>(F97/100)</f>
        <v>1.3127410399999999E-2</v>
      </c>
      <c r="F97" s="13">
        <v>1.3127410399999999</v>
      </c>
      <c r="G97" s="13">
        <v>3107.2700199999999</v>
      </c>
      <c r="H97" s="10" t="str">
        <f>"Ovalidad  maxima del "&amp;TEXT(E97,"0.00%")</f>
        <v>Ovalidad  maxima del 1.31%</v>
      </c>
    </row>
    <row r="98" spans="1:8" x14ac:dyDescent="0.25">
      <c r="A98" s="10" t="s">
        <v>165</v>
      </c>
      <c r="B98" s="11">
        <v>3108.8398900000002</v>
      </c>
      <c r="C98" s="11">
        <v>3138.8401100000001</v>
      </c>
      <c r="D98" s="11" t="str">
        <f t="shared" ref="D98:D122" si="6">IF((E98)&lt;2%,"I",IF((E98)&lt;5%,"II","III"))</f>
        <v>III</v>
      </c>
      <c r="E98" s="14">
        <f t="shared" ref="E98:E122" si="7">(F98/100)</f>
        <v>5.4296040500000003E-2</v>
      </c>
      <c r="F98" s="13">
        <v>5.42960405</v>
      </c>
      <c r="G98" s="13">
        <v>3129.6999500000002</v>
      </c>
      <c r="H98" s="10" t="str">
        <f t="shared" ref="H98:H122" si="8">"Ovalidad  maxima del "&amp;TEXT(E98,"0.00%")</f>
        <v>Ovalidad  maxima del 5.43%</v>
      </c>
    </row>
    <row r="99" spans="1:8" x14ac:dyDescent="0.25">
      <c r="A99" s="10" t="s">
        <v>166</v>
      </c>
      <c r="B99" s="11">
        <v>3139.6903200000002</v>
      </c>
      <c r="C99" s="11">
        <v>3170.1763799999999</v>
      </c>
      <c r="D99" s="11" t="str">
        <f t="shared" si="6"/>
        <v>II</v>
      </c>
      <c r="E99" s="14">
        <f t="shared" si="7"/>
        <v>4.3161954900000001E-2</v>
      </c>
      <c r="F99" s="13">
        <v>4.3161954900000001</v>
      </c>
      <c r="G99" s="13">
        <v>3169.9299299999998</v>
      </c>
      <c r="H99" s="10" t="str">
        <f t="shared" si="8"/>
        <v>Ovalidad  maxima del 4.32%</v>
      </c>
    </row>
    <row r="100" spans="1:8" x14ac:dyDescent="0.25">
      <c r="A100" s="10" t="s">
        <v>167</v>
      </c>
      <c r="B100" s="11">
        <v>3171.33023</v>
      </c>
      <c r="C100" s="11">
        <v>3203.1523400000001</v>
      </c>
      <c r="D100" s="11" t="str">
        <f t="shared" si="6"/>
        <v>II</v>
      </c>
      <c r="E100" s="14">
        <f t="shared" si="7"/>
        <v>4.9734063099999996E-2</v>
      </c>
      <c r="F100" s="13">
        <v>4.9734063099999997</v>
      </c>
      <c r="G100" s="13">
        <v>3180.1101100000001</v>
      </c>
      <c r="H100" s="10" t="str">
        <f t="shared" si="8"/>
        <v>Ovalidad  maxima del 4.97%</v>
      </c>
    </row>
    <row r="101" spans="1:8" x14ac:dyDescent="0.25">
      <c r="A101" s="10" t="s">
        <v>168</v>
      </c>
      <c r="B101" s="11">
        <v>3204.3061899999998</v>
      </c>
      <c r="C101" s="11">
        <v>3236.9785000000002</v>
      </c>
      <c r="D101" s="11" t="str">
        <f t="shared" si="6"/>
        <v>II</v>
      </c>
      <c r="E101" s="14">
        <f t="shared" si="7"/>
        <v>3.6984541400000001E-2</v>
      </c>
      <c r="F101" s="13">
        <v>3.6984541399999999</v>
      </c>
      <c r="G101" s="13">
        <v>3221.75</v>
      </c>
      <c r="H101" s="10" t="str">
        <f t="shared" si="8"/>
        <v>Ovalidad  maxima del 3.70%</v>
      </c>
    </row>
    <row r="102" spans="1:8" x14ac:dyDescent="0.25">
      <c r="A102" s="10" t="s">
        <v>169</v>
      </c>
      <c r="B102" s="11">
        <v>3237.9501700000001</v>
      </c>
      <c r="C102" s="11">
        <v>3270.8653899999999</v>
      </c>
      <c r="D102" s="11" t="str">
        <f t="shared" si="6"/>
        <v>III</v>
      </c>
      <c r="E102" s="14">
        <f t="shared" si="7"/>
        <v>8.286790849999999E-2</v>
      </c>
      <c r="F102" s="13">
        <v>8.2867908499999992</v>
      </c>
      <c r="G102" s="13">
        <v>3262.6699199999998</v>
      </c>
      <c r="H102" s="10" t="str">
        <f t="shared" si="8"/>
        <v>Ovalidad  maxima del 8.29%</v>
      </c>
    </row>
    <row r="103" spans="1:8" x14ac:dyDescent="0.25">
      <c r="A103" s="10" t="s">
        <v>170</v>
      </c>
      <c r="B103" s="11">
        <v>3272.0192400000001</v>
      </c>
      <c r="C103" s="11">
        <v>3302.6267600000001</v>
      </c>
      <c r="D103" s="11" t="str">
        <f t="shared" si="6"/>
        <v>III</v>
      </c>
      <c r="E103" s="14">
        <f t="shared" si="7"/>
        <v>8.2161970099999995E-2</v>
      </c>
      <c r="F103" s="13">
        <v>8.2161970100000001</v>
      </c>
      <c r="G103" s="13">
        <v>3277.6799299999998</v>
      </c>
      <c r="H103" s="10" t="str">
        <f t="shared" si="8"/>
        <v>Ovalidad  maxima del 8.22%</v>
      </c>
    </row>
    <row r="104" spans="1:8" x14ac:dyDescent="0.25">
      <c r="A104" s="10" t="s">
        <v>171</v>
      </c>
      <c r="B104" s="11">
        <v>3303.6591600000002</v>
      </c>
      <c r="C104" s="11">
        <v>3335.11688</v>
      </c>
      <c r="D104" s="11" t="str">
        <f t="shared" si="6"/>
        <v>III</v>
      </c>
      <c r="E104" s="14">
        <f t="shared" si="7"/>
        <v>8.1560268399999997E-2</v>
      </c>
      <c r="F104" s="13">
        <v>8.1560268399999991</v>
      </c>
      <c r="G104" s="13">
        <v>3332.3100599999998</v>
      </c>
      <c r="H104" s="10" t="str">
        <f t="shared" si="8"/>
        <v>Ovalidad  maxima del 8.16%</v>
      </c>
    </row>
    <row r="105" spans="1:8" x14ac:dyDescent="0.25">
      <c r="A105" s="10" t="s">
        <v>172</v>
      </c>
      <c r="B105" s="11">
        <v>3336.1492800000001</v>
      </c>
      <c r="C105" s="11">
        <v>3366.6353399999998</v>
      </c>
      <c r="D105" s="11" t="str">
        <f t="shared" si="6"/>
        <v>III</v>
      </c>
      <c r="E105" s="14">
        <f t="shared" si="7"/>
        <v>7.1963348400000002E-2</v>
      </c>
      <c r="F105" s="13">
        <v>7.1963348399999996</v>
      </c>
      <c r="G105" s="13">
        <v>3336.6599099999999</v>
      </c>
      <c r="H105" s="10" t="str">
        <f t="shared" si="8"/>
        <v>Ovalidad  maxima del 7.20%</v>
      </c>
    </row>
    <row r="106" spans="1:8" x14ac:dyDescent="0.25">
      <c r="A106" s="10" t="s">
        <v>173</v>
      </c>
      <c r="B106" s="11">
        <v>3367.7284599999998</v>
      </c>
      <c r="C106" s="11">
        <v>3399.0039999999999</v>
      </c>
      <c r="D106" s="11" t="str">
        <f t="shared" si="6"/>
        <v>III</v>
      </c>
      <c r="E106" s="14">
        <f t="shared" si="7"/>
        <v>9.1244363800000006E-2</v>
      </c>
      <c r="F106" s="13">
        <v>9.1244363800000006</v>
      </c>
      <c r="G106" s="13">
        <v>3388.0800800000002</v>
      </c>
      <c r="H106" s="10" t="str">
        <f t="shared" si="8"/>
        <v>Ovalidad  maxima del 9.12%</v>
      </c>
    </row>
    <row r="107" spans="1:8" x14ac:dyDescent="0.25">
      <c r="A107" s="10" t="s">
        <v>174</v>
      </c>
      <c r="B107" s="11">
        <v>3400.4007700000002</v>
      </c>
      <c r="C107" s="11">
        <v>3431.1297500000001</v>
      </c>
      <c r="D107" s="11" t="str">
        <f t="shared" si="6"/>
        <v>II</v>
      </c>
      <c r="E107" s="14">
        <f t="shared" si="7"/>
        <v>3.6093053799999997E-2</v>
      </c>
      <c r="F107" s="13">
        <v>3.6093053799999999</v>
      </c>
      <c r="G107" s="13">
        <v>3400.5900900000001</v>
      </c>
      <c r="H107" s="10" t="str">
        <f t="shared" si="8"/>
        <v>Ovalidad  maxima del 3.61%</v>
      </c>
    </row>
    <row r="108" spans="1:8" x14ac:dyDescent="0.25">
      <c r="A108" s="10" t="s">
        <v>175</v>
      </c>
      <c r="B108" s="11">
        <v>3432.2228700000001</v>
      </c>
      <c r="C108" s="11">
        <v>3462.8911199999998</v>
      </c>
      <c r="D108" s="11" t="str">
        <f t="shared" si="6"/>
        <v>II</v>
      </c>
      <c r="E108" s="14">
        <f t="shared" si="7"/>
        <v>3.7379794100000002E-2</v>
      </c>
      <c r="F108" s="13">
        <v>3.7379794099999999</v>
      </c>
      <c r="G108" s="13">
        <v>3434.51001</v>
      </c>
      <c r="H108" s="10" t="str">
        <f t="shared" si="8"/>
        <v>Ovalidad  maxima del 3.74%</v>
      </c>
    </row>
    <row r="109" spans="1:8" x14ac:dyDescent="0.25">
      <c r="A109" s="10" t="s">
        <v>188</v>
      </c>
      <c r="B109" s="11">
        <v>3464.0449699999999</v>
      </c>
      <c r="C109" s="11">
        <v>3494.0451899999998</v>
      </c>
      <c r="D109" s="11" t="str">
        <f t="shared" si="6"/>
        <v>I</v>
      </c>
      <c r="E109" s="14">
        <f t="shared" si="7"/>
        <v>1.89837193E-2</v>
      </c>
      <c r="F109" s="13">
        <v>1.8983719299999999</v>
      </c>
      <c r="G109" s="13">
        <v>3488.7299800000001</v>
      </c>
      <c r="H109" s="10" t="str">
        <f t="shared" si="8"/>
        <v>Ovalidad  maxima del 1.90%</v>
      </c>
    </row>
    <row r="110" spans="1:8" x14ac:dyDescent="0.25">
      <c r="A110" s="10" t="s">
        <v>189</v>
      </c>
      <c r="B110" s="11">
        <v>3495.32051</v>
      </c>
      <c r="C110" s="11">
        <v>3525.1992700000001</v>
      </c>
      <c r="D110" s="11" t="str">
        <f t="shared" si="6"/>
        <v>II</v>
      </c>
      <c r="E110" s="14">
        <f t="shared" si="7"/>
        <v>2.83813381E-2</v>
      </c>
      <c r="F110" s="13">
        <v>2.83813381</v>
      </c>
      <c r="G110" s="13">
        <v>3507.6498999999999</v>
      </c>
      <c r="H110" s="10" t="str">
        <f t="shared" si="8"/>
        <v>Ovalidad  maxima del 2.84%</v>
      </c>
    </row>
    <row r="111" spans="1:8" x14ac:dyDescent="0.25">
      <c r="A111" s="10" t="s">
        <v>190</v>
      </c>
      <c r="B111" s="11">
        <v>3526.53532</v>
      </c>
      <c r="C111" s="11">
        <v>3557.0213699999999</v>
      </c>
      <c r="D111" s="11" t="str">
        <f t="shared" si="6"/>
        <v>II</v>
      </c>
      <c r="E111" s="14">
        <f t="shared" si="7"/>
        <v>2.7326857999999999E-2</v>
      </c>
      <c r="F111" s="13">
        <v>2.7326858000000001</v>
      </c>
      <c r="G111" s="13">
        <v>3534.4499500000002</v>
      </c>
      <c r="H111" s="10" t="str">
        <f t="shared" si="8"/>
        <v>Ovalidad  maxima del 2.73%</v>
      </c>
    </row>
    <row r="112" spans="1:8" x14ac:dyDescent="0.25">
      <c r="A112" s="10" t="s">
        <v>191</v>
      </c>
      <c r="B112" s="11">
        <v>3558.2966900000001</v>
      </c>
      <c r="C112" s="11">
        <v>3588.7827400000001</v>
      </c>
      <c r="D112" s="11" t="str">
        <f t="shared" si="6"/>
        <v>II</v>
      </c>
      <c r="E112" s="14">
        <f t="shared" si="7"/>
        <v>2.9811956899999999E-2</v>
      </c>
      <c r="F112" s="13">
        <v>2.9811956899999998</v>
      </c>
      <c r="G112" s="13">
        <v>3558.3100599999998</v>
      </c>
      <c r="H112" s="10" t="str">
        <f t="shared" si="8"/>
        <v>Ovalidad  maxima del 2.98%</v>
      </c>
    </row>
    <row r="113" spans="1:8" x14ac:dyDescent="0.25">
      <c r="A113" s="10" t="s">
        <v>192</v>
      </c>
      <c r="B113" s="11">
        <v>3590.0580599999998</v>
      </c>
      <c r="C113" s="11">
        <v>3620.6655700000001</v>
      </c>
      <c r="D113" s="11" t="str">
        <f t="shared" si="6"/>
        <v>II</v>
      </c>
      <c r="E113" s="14">
        <f t="shared" si="7"/>
        <v>3.6712579699999998E-2</v>
      </c>
      <c r="F113" s="13">
        <v>3.6712579700000001</v>
      </c>
      <c r="G113" s="13">
        <v>3596.23999</v>
      </c>
      <c r="H113" s="10" t="str">
        <f t="shared" si="8"/>
        <v>Ovalidad  maxima del 3.67%</v>
      </c>
    </row>
    <row r="114" spans="1:8" x14ac:dyDescent="0.25">
      <c r="A114" s="10" t="s">
        <v>193</v>
      </c>
      <c r="B114" s="11">
        <v>3621.9408899999999</v>
      </c>
      <c r="C114" s="11">
        <v>3651.9411100000002</v>
      </c>
      <c r="D114" s="11" t="str">
        <f t="shared" si="6"/>
        <v>II</v>
      </c>
      <c r="E114" s="14">
        <f t="shared" si="7"/>
        <v>3.7061417100000001E-2</v>
      </c>
      <c r="F114" s="13">
        <v>3.7061417099999998</v>
      </c>
      <c r="G114" s="13">
        <v>3635.0900900000001</v>
      </c>
      <c r="H114" s="10" t="str">
        <f t="shared" si="8"/>
        <v>Ovalidad  maxima del 3.71%</v>
      </c>
    </row>
    <row r="115" spans="1:8" x14ac:dyDescent="0.25">
      <c r="A115" s="10" t="s">
        <v>194</v>
      </c>
      <c r="B115" s="11">
        <v>3653.2164200000002</v>
      </c>
      <c r="C115" s="11">
        <v>3684.2490400000002</v>
      </c>
      <c r="D115" s="11" t="str">
        <f t="shared" si="6"/>
        <v>II</v>
      </c>
      <c r="E115" s="14">
        <f t="shared" si="7"/>
        <v>3.24712968E-2</v>
      </c>
      <c r="F115" s="13">
        <v>3.24712968</v>
      </c>
      <c r="G115" s="13">
        <v>3679.5900900000001</v>
      </c>
      <c r="H115" s="10" t="str">
        <f t="shared" si="8"/>
        <v>Ovalidad  maxima del 3.25%</v>
      </c>
    </row>
    <row r="116" spans="1:8" x14ac:dyDescent="0.25">
      <c r="A116" s="10" t="s">
        <v>195</v>
      </c>
      <c r="B116" s="11">
        <v>3685.58509</v>
      </c>
      <c r="C116" s="11">
        <v>3716.43552</v>
      </c>
      <c r="D116" s="11" t="str">
        <f t="shared" si="6"/>
        <v>II</v>
      </c>
      <c r="E116" s="14">
        <f t="shared" si="7"/>
        <v>3.6127314600000002E-2</v>
      </c>
      <c r="F116" s="13">
        <v>3.61273146</v>
      </c>
      <c r="G116" s="13">
        <v>3714.0900900000001</v>
      </c>
      <c r="H116" s="10" t="str">
        <f t="shared" si="8"/>
        <v>Ovalidad  maxima del 3.61%</v>
      </c>
    </row>
    <row r="117" spans="1:8" x14ac:dyDescent="0.25">
      <c r="A117" s="10" t="s">
        <v>196</v>
      </c>
      <c r="B117" s="11">
        <v>3717.46792</v>
      </c>
      <c r="C117" s="11">
        <v>3747.1644900000001</v>
      </c>
      <c r="D117" s="11" t="str">
        <f t="shared" si="6"/>
        <v>II</v>
      </c>
      <c r="E117" s="14">
        <f t="shared" si="7"/>
        <v>2.66074777E-2</v>
      </c>
      <c r="F117" s="13">
        <v>2.66074777</v>
      </c>
      <c r="G117" s="13">
        <v>3730.5700700000002</v>
      </c>
      <c r="H117" s="10" t="str">
        <f t="shared" si="8"/>
        <v>Ovalidad  maxima del 2.66%</v>
      </c>
    </row>
    <row r="118" spans="1:8" x14ac:dyDescent="0.25">
      <c r="A118" s="10" t="s">
        <v>197</v>
      </c>
      <c r="B118" s="11">
        <v>3748.1968900000002</v>
      </c>
      <c r="C118" s="11">
        <v>3778.98659</v>
      </c>
      <c r="D118" s="11" t="str">
        <f t="shared" si="6"/>
        <v>I</v>
      </c>
      <c r="E118" s="14">
        <f t="shared" si="7"/>
        <v>1.74906516E-2</v>
      </c>
      <c r="F118" s="13">
        <v>1.74906516</v>
      </c>
      <c r="G118" s="13">
        <v>3757.8898899999999</v>
      </c>
      <c r="H118" s="10" t="str">
        <f t="shared" si="8"/>
        <v>Ovalidad  maxima del 1.75%</v>
      </c>
    </row>
    <row r="119" spans="1:8" x14ac:dyDescent="0.25">
      <c r="A119" s="10" t="s">
        <v>198</v>
      </c>
      <c r="B119" s="11">
        <v>3779.9582599999999</v>
      </c>
      <c r="C119" s="11">
        <v>3810.7479600000001</v>
      </c>
      <c r="D119" s="11" t="str">
        <f t="shared" si="6"/>
        <v>II</v>
      </c>
      <c r="E119" s="14">
        <f t="shared" si="7"/>
        <v>2.0884988299999997E-2</v>
      </c>
      <c r="F119" s="13">
        <v>2.0884988299999998</v>
      </c>
      <c r="G119" s="13">
        <v>3781.87012</v>
      </c>
      <c r="H119" s="10" t="str">
        <f t="shared" si="8"/>
        <v>Ovalidad  maxima del 2.09%</v>
      </c>
    </row>
    <row r="120" spans="1:8" x14ac:dyDescent="0.25">
      <c r="A120" s="10" t="s">
        <v>199</v>
      </c>
      <c r="B120" s="11">
        <v>3812.0232799999999</v>
      </c>
      <c r="C120" s="11">
        <v>3842.8737099999998</v>
      </c>
      <c r="D120" s="11" t="str">
        <f t="shared" si="6"/>
        <v>II</v>
      </c>
      <c r="E120" s="14">
        <f t="shared" si="7"/>
        <v>2.5477368800000001E-2</v>
      </c>
      <c r="F120" s="13">
        <v>2.54773688</v>
      </c>
      <c r="G120" s="13">
        <v>3830.1699199999998</v>
      </c>
      <c r="H120" s="10" t="str">
        <f t="shared" si="8"/>
        <v>Ovalidad  maxima del 2.55%</v>
      </c>
    </row>
    <row r="121" spans="1:8" x14ac:dyDescent="0.25">
      <c r="A121" s="10" t="s">
        <v>200</v>
      </c>
      <c r="B121" s="11">
        <v>3844.1490199999998</v>
      </c>
      <c r="C121" s="11">
        <v>3874.5743499999999</v>
      </c>
      <c r="D121" s="11" t="str">
        <f t="shared" si="6"/>
        <v>II</v>
      </c>
      <c r="E121" s="14">
        <f t="shared" si="7"/>
        <v>2.25465631E-2</v>
      </c>
      <c r="F121" s="13">
        <v>2.2546563100000001</v>
      </c>
      <c r="G121" s="13">
        <v>3853.0600599999998</v>
      </c>
      <c r="H121" s="10" t="str">
        <f t="shared" si="8"/>
        <v>Ovalidad  maxima del 2.25%</v>
      </c>
    </row>
    <row r="122" spans="1:8" x14ac:dyDescent="0.25">
      <c r="A122" s="10" t="s">
        <v>201</v>
      </c>
      <c r="B122" s="11">
        <v>3875.7282</v>
      </c>
      <c r="C122" s="11">
        <v>3906.2749899999999</v>
      </c>
      <c r="D122" s="11" t="str">
        <f t="shared" si="6"/>
        <v>II</v>
      </c>
      <c r="E122" s="14">
        <f t="shared" si="7"/>
        <v>2.32605052E-2</v>
      </c>
      <c r="F122" s="13">
        <v>2.3260505199999999</v>
      </c>
      <c r="G122" s="13">
        <v>3896.1398899999999</v>
      </c>
      <c r="H122" s="10" t="str">
        <f t="shared" si="8"/>
        <v>Ovalidad  maxima del 2.33%</v>
      </c>
    </row>
    <row r="123" spans="1:8" x14ac:dyDescent="0.25">
      <c r="A123" s="10" t="s">
        <v>202</v>
      </c>
      <c r="B123" s="11">
        <v>3907.3073899999999</v>
      </c>
      <c r="C123" s="11">
        <v>3938.2185500000001</v>
      </c>
      <c r="D123" s="11" t="str">
        <f t="shared" ref="D123:D186" si="9">IF((E123)&lt;2%,"I",IF((E123)&lt;5%,"II","III"))</f>
        <v>I</v>
      </c>
      <c r="E123" s="14">
        <f t="shared" ref="E123:E186" si="10">(F123/100)</f>
        <v>1.8283609199999998E-2</v>
      </c>
      <c r="F123" s="13">
        <v>1.8283609199999999</v>
      </c>
      <c r="G123" s="13">
        <v>3908.1001000000001</v>
      </c>
      <c r="H123" s="10" t="str">
        <f t="shared" ref="H123:H186" si="11">"Ovalidad  maxima del "&amp;TEXT(E123,"0.00%")</f>
        <v>Ovalidad  maxima del 1.83%</v>
      </c>
    </row>
    <row r="124" spans="1:8" x14ac:dyDescent="0.25">
      <c r="A124" s="10" t="s">
        <v>203</v>
      </c>
      <c r="B124" s="11">
        <v>3939.3724099999999</v>
      </c>
      <c r="C124" s="11">
        <v>3969.43336</v>
      </c>
      <c r="D124" s="11" t="str">
        <f t="shared" si="9"/>
        <v>I</v>
      </c>
      <c r="E124" s="14">
        <f t="shared" si="10"/>
        <v>1.6839189500000001E-2</v>
      </c>
      <c r="F124" s="13">
        <v>1.68391895</v>
      </c>
      <c r="G124" s="13">
        <v>3951.5700700000002</v>
      </c>
      <c r="H124" s="10" t="str">
        <f t="shared" si="11"/>
        <v>Ovalidad  maxima del 1.68%</v>
      </c>
    </row>
    <row r="125" spans="1:8" x14ac:dyDescent="0.25">
      <c r="A125" s="10" t="s">
        <v>204</v>
      </c>
      <c r="B125" s="11">
        <v>3970.5872100000001</v>
      </c>
      <c r="C125" s="11">
        <v>4000.76962</v>
      </c>
      <c r="D125" s="11" t="str">
        <f t="shared" si="9"/>
        <v>II</v>
      </c>
      <c r="E125" s="14">
        <f t="shared" si="10"/>
        <v>2.1843235499999999E-2</v>
      </c>
      <c r="F125" s="13">
        <v>2.1843235499999998</v>
      </c>
      <c r="G125" s="13">
        <v>3999.2099600000001</v>
      </c>
      <c r="H125" s="10" t="str">
        <f t="shared" si="11"/>
        <v>Ovalidad  maxima del 2.18%</v>
      </c>
    </row>
    <row r="126" spans="1:8" x14ac:dyDescent="0.25">
      <c r="A126" s="10" t="s">
        <v>205</v>
      </c>
      <c r="B126" s="11">
        <v>4001.9234799999999</v>
      </c>
      <c r="C126" s="11">
        <v>4032.65245</v>
      </c>
      <c r="D126" s="11" t="str">
        <f t="shared" si="9"/>
        <v>II</v>
      </c>
      <c r="E126" s="14">
        <f t="shared" si="10"/>
        <v>2.0977163300000001E-2</v>
      </c>
      <c r="F126" s="13">
        <v>2.0977163299999999</v>
      </c>
      <c r="G126" s="13">
        <v>4015.7299800000001</v>
      </c>
      <c r="H126" s="10" t="str">
        <f t="shared" si="11"/>
        <v>Ovalidad  maxima del 2.10%</v>
      </c>
    </row>
    <row r="127" spans="1:8" x14ac:dyDescent="0.25">
      <c r="A127" s="10" t="s">
        <v>206</v>
      </c>
      <c r="B127" s="11">
        <v>4033.6848500000001</v>
      </c>
      <c r="C127" s="11">
        <v>4063.8065299999998</v>
      </c>
      <c r="D127" s="11" t="str">
        <f t="shared" si="9"/>
        <v>I</v>
      </c>
      <c r="E127" s="14">
        <f t="shared" si="10"/>
        <v>1.7944405100000001E-2</v>
      </c>
      <c r="F127" s="13">
        <v>1.79444051</v>
      </c>
      <c r="G127" s="13">
        <v>4046.5700700000002</v>
      </c>
      <c r="H127" s="10" t="str">
        <f t="shared" si="11"/>
        <v>Ovalidad  maxima del 1.79%</v>
      </c>
    </row>
    <row r="128" spans="1:8" x14ac:dyDescent="0.25">
      <c r="A128" s="10" t="s">
        <v>207</v>
      </c>
      <c r="B128" s="11">
        <v>4064.89966</v>
      </c>
      <c r="C128" s="11">
        <v>4095.8715499999998</v>
      </c>
      <c r="D128" s="11" t="str">
        <f t="shared" si="9"/>
        <v>I</v>
      </c>
      <c r="E128" s="14">
        <f t="shared" si="10"/>
        <v>1.5099550500000001E-2</v>
      </c>
      <c r="F128" s="13">
        <v>1.5099550500000001</v>
      </c>
      <c r="G128" s="13">
        <v>4078.4199199999998</v>
      </c>
      <c r="H128" s="10" t="str">
        <f t="shared" si="11"/>
        <v>Ovalidad  maxima del 1.51%</v>
      </c>
    </row>
    <row r="129" spans="1:8" x14ac:dyDescent="0.25">
      <c r="A129" s="10" t="s">
        <v>208</v>
      </c>
      <c r="B129" s="11">
        <v>4097.1468599999998</v>
      </c>
      <c r="C129" s="11">
        <v>4127.9365699999998</v>
      </c>
      <c r="D129" s="11" t="str">
        <f t="shared" si="9"/>
        <v>I</v>
      </c>
      <c r="E129" s="14">
        <f t="shared" si="10"/>
        <v>1.8468521799999998E-2</v>
      </c>
      <c r="F129" s="13">
        <v>1.84685218</v>
      </c>
      <c r="G129" s="13">
        <v>4110.75</v>
      </c>
      <c r="H129" s="10" t="str">
        <f t="shared" si="11"/>
        <v>Ovalidad  maxima del 1.85%</v>
      </c>
    </row>
    <row r="130" spans="1:8" x14ac:dyDescent="0.25">
      <c r="A130" s="10" t="s">
        <v>209</v>
      </c>
      <c r="B130" s="11">
        <v>4129.1511499999997</v>
      </c>
      <c r="C130" s="11">
        <v>4159.69794</v>
      </c>
      <c r="D130" s="11" t="str">
        <f t="shared" si="9"/>
        <v>II</v>
      </c>
      <c r="E130" s="14">
        <f t="shared" si="10"/>
        <v>2.1336290800000001E-2</v>
      </c>
      <c r="F130" s="13">
        <v>2.13362908</v>
      </c>
      <c r="G130" s="13">
        <v>4145.6098599999996</v>
      </c>
      <c r="H130" s="10" t="str">
        <f t="shared" si="11"/>
        <v>Ovalidad  maxima del 2.13%</v>
      </c>
    </row>
    <row r="131" spans="1:8" x14ac:dyDescent="0.25">
      <c r="A131" s="10" t="s">
        <v>210</v>
      </c>
      <c r="B131" s="11">
        <v>4160.97325</v>
      </c>
      <c r="C131" s="11">
        <v>4191.4593100000002</v>
      </c>
      <c r="D131" s="11" t="str">
        <f t="shared" si="9"/>
        <v>I</v>
      </c>
      <c r="E131" s="14">
        <f t="shared" si="10"/>
        <v>1.86525536E-2</v>
      </c>
      <c r="F131" s="13">
        <v>1.8652553599999999</v>
      </c>
      <c r="G131" s="13">
        <v>4165.7202100000004</v>
      </c>
      <c r="H131" s="10" t="str">
        <f t="shared" si="11"/>
        <v>Ovalidad  maxima del 1.87%</v>
      </c>
    </row>
    <row r="132" spans="1:8" x14ac:dyDescent="0.25">
      <c r="A132" s="10" t="s">
        <v>211</v>
      </c>
      <c r="B132" s="11">
        <v>4192.7953500000003</v>
      </c>
      <c r="C132" s="11">
        <v>4223.0992200000001</v>
      </c>
      <c r="D132" s="11" t="str">
        <f t="shared" si="9"/>
        <v>II</v>
      </c>
      <c r="E132" s="14">
        <f t="shared" si="10"/>
        <v>3.4668054599999998E-2</v>
      </c>
      <c r="F132" s="13">
        <v>3.4668054599999998</v>
      </c>
      <c r="G132" s="13">
        <v>4206.5097699999997</v>
      </c>
      <c r="H132" s="10" t="str">
        <f t="shared" si="11"/>
        <v>Ovalidad  maxima del 3.47%</v>
      </c>
    </row>
    <row r="133" spans="1:8" x14ac:dyDescent="0.25">
      <c r="A133" s="10" t="s">
        <v>212</v>
      </c>
      <c r="B133" s="11">
        <v>4224.2530699999998</v>
      </c>
      <c r="C133" s="11">
        <v>4254.5569400000004</v>
      </c>
      <c r="D133" s="11" t="str">
        <f t="shared" si="9"/>
        <v>II</v>
      </c>
      <c r="E133" s="14">
        <f t="shared" si="10"/>
        <v>2.3016319300000001E-2</v>
      </c>
      <c r="F133" s="13">
        <v>2.3016319300000001</v>
      </c>
      <c r="G133" s="13">
        <v>4231.8300799999997</v>
      </c>
      <c r="H133" s="10" t="str">
        <f t="shared" si="11"/>
        <v>Ovalidad  maxima del 2.30%</v>
      </c>
    </row>
    <row r="134" spans="1:8" x14ac:dyDescent="0.25">
      <c r="A134" s="10" t="s">
        <v>213</v>
      </c>
      <c r="B134" s="11">
        <v>4255.8322600000001</v>
      </c>
      <c r="C134" s="11">
        <v>4286.19686</v>
      </c>
      <c r="D134" s="11" t="str">
        <f t="shared" si="9"/>
        <v>II</v>
      </c>
      <c r="E134" s="14">
        <f t="shared" si="10"/>
        <v>4.9150061599999996E-2</v>
      </c>
      <c r="F134" s="13">
        <v>4.9150061599999999</v>
      </c>
      <c r="G134" s="13">
        <v>4269.75</v>
      </c>
      <c r="H134" s="10" t="str">
        <f t="shared" si="11"/>
        <v>Ovalidad  maxima del 4.92%</v>
      </c>
    </row>
    <row r="135" spans="1:8" x14ac:dyDescent="0.25">
      <c r="A135" s="10" t="s">
        <v>214</v>
      </c>
      <c r="B135" s="11">
        <v>4287.47217</v>
      </c>
      <c r="C135" s="11">
        <v>4317.4116599999998</v>
      </c>
      <c r="D135" s="11" t="str">
        <f t="shared" si="9"/>
        <v>II</v>
      </c>
      <c r="E135" s="14">
        <f t="shared" si="10"/>
        <v>3.0043087000000003E-2</v>
      </c>
      <c r="F135" s="13">
        <v>3.0043087000000002</v>
      </c>
      <c r="G135" s="13">
        <v>4288.8500999999997</v>
      </c>
      <c r="H135" s="10" t="str">
        <f t="shared" si="11"/>
        <v>Ovalidad  maxima del 3.00%</v>
      </c>
    </row>
    <row r="136" spans="1:8" x14ac:dyDescent="0.25">
      <c r="A136" s="10" t="s">
        <v>215</v>
      </c>
      <c r="B136" s="11">
        <v>4318.8084399999998</v>
      </c>
      <c r="C136" s="11">
        <v>4349.4159499999996</v>
      </c>
      <c r="D136" s="11" t="str">
        <f t="shared" si="9"/>
        <v>II</v>
      </c>
      <c r="E136" s="14">
        <f t="shared" si="10"/>
        <v>2.0084731599999999E-2</v>
      </c>
      <c r="F136" s="13">
        <v>2.0084731599999999</v>
      </c>
      <c r="G136" s="13">
        <v>4333.1699200000003</v>
      </c>
      <c r="H136" s="10" t="str">
        <f t="shared" si="11"/>
        <v>Ovalidad  maxima del 2.01%</v>
      </c>
    </row>
    <row r="137" spans="1:8" x14ac:dyDescent="0.25">
      <c r="A137" s="10" t="s">
        <v>216</v>
      </c>
      <c r="B137" s="11">
        <v>4350.87345</v>
      </c>
      <c r="C137" s="11">
        <v>4381.5416999999998</v>
      </c>
      <c r="D137" s="11" t="str">
        <f t="shared" si="9"/>
        <v>I</v>
      </c>
      <c r="E137" s="14">
        <f t="shared" si="10"/>
        <v>1.48201931E-2</v>
      </c>
      <c r="F137" s="13">
        <v>1.4820193100000001</v>
      </c>
      <c r="G137" s="13">
        <v>4354.1899400000002</v>
      </c>
      <c r="H137" s="10" t="str">
        <f t="shared" si="11"/>
        <v>Ovalidad  maxima del 1.48%</v>
      </c>
    </row>
    <row r="138" spans="1:8" x14ac:dyDescent="0.25">
      <c r="A138" s="10" t="s">
        <v>217</v>
      </c>
      <c r="B138" s="11">
        <v>4382.9384700000001</v>
      </c>
      <c r="C138" s="11">
        <v>4413.60671</v>
      </c>
      <c r="D138" s="11" t="str">
        <f t="shared" si="9"/>
        <v>I</v>
      </c>
      <c r="E138" s="14">
        <f t="shared" si="10"/>
        <v>1.7669286699999998E-2</v>
      </c>
      <c r="F138" s="13">
        <v>1.76692867</v>
      </c>
      <c r="G138" s="13">
        <v>4388.4502000000002</v>
      </c>
      <c r="H138" s="10" t="str">
        <f t="shared" si="11"/>
        <v>Ovalidad  maxima del 1.77%</v>
      </c>
    </row>
    <row r="139" spans="1:8" x14ac:dyDescent="0.25">
      <c r="A139" s="10" t="s">
        <v>218</v>
      </c>
      <c r="B139" s="11">
        <v>4414.7605700000004</v>
      </c>
      <c r="C139" s="11">
        <v>4445.2466299999996</v>
      </c>
      <c r="D139" s="11" t="str">
        <f t="shared" si="9"/>
        <v>II</v>
      </c>
      <c r="E139" s="14">
        <f t="shared" si="10"/>
        <v>2.2459759699999998E-2</v>
      </c>
      <c r="F139" s="13">
        <v>2.2459759699999999</v>
      </c>
      <c r="G139" s="13">
        <v>4418.3701199999996</v>
      </c>
      <c r="H139" s="10" t="str">
        <f t="shared" si="11"/>
        <v>Ovalidad  maxima del 2.25%</v>
      </c>
    </row>
    <row r="140" spans="1:8" x14ac:dyDescent="0.25">
      <c r="A140" s="10" t="s">
        <v>219</v>
      </c>
      <c r="B140" s="11">
        <v>4446.4004800000002</v>
      </c>
      <c r="C140" s="11">
        <v>4477.1901900000003</v>
      </c>
      <c r="D140" s="11" t="str">
        <f t="shared" si="9"/>
        <v>II</v>
      </c>
      <c r="E140" s="14">
        <f t="shared" si="10"/>
        <v>2.3387150799999999E-2</v>
      </c>
      <c r="F140" s="13">
        <v>2.3387150800000001</v>
      </c>
      <c r="G140" s="13">
        <v>4453.6298800000004</v>
      </c>
      <c r="H140" s="10" t="str">
        <f t="shared" si="11"/>
        <v>Ovalidad  maxima del 2.34%</v>
      </c>
    </row>
    <row r="141" spans="1:8" x14ac:dyDescent="0.25">
      <c r="A141" s="10" t="s">
        <v>220</v>
      </c>
      <c r="B141" s="11">
        <v>4478.4047700000001</v>
      </c>
      <c r="C141" s="11">
        <v>4510.40906</v>
      </c>
      <c r="D141" s="11" t="str">
        <f t="shared" si="9"/>
        <v>I</v>
      </c>
      <c r="E141" s="14">
        <f t="shared" si="10"/>
        <v>1.6256461099999998E-2</v>
      </c>
      <c r="F141" s="13">
        <v>1.6256461099999999</v>
      </c>
      <c r="G141" s="13">
        <v>4507.0698199999997</v>
      </c>
      <c r="H141" s="10" t="str">
        <f t="shared" si="11"/>
        <v>Ovalidad  maxima del 1.63%</v>
      </c>
    </row>
    <row r="142" spans="1:8" x14ac:dyDescent="0.25">
      <c r="A142" s="10" t="s">
        <v>221</v>
      </c>
      <c r="B142" s="11">
        <v>4511.7451000000001</v>
      </c>
      <c r="C142" s="11">
        <v>4542.1704300000001</v>
      </c>
      <c r="D142" s="11" t="str">
        <f t="shared" si="9"/>
        <v>I</v>
      </c>
      <c r="E142" s="14">
        <f t="shared" si="10"/>
        <v>1.89143503E-2</v>
      </c>
      <c r="F142" s="13">
        <v>1.89143503</v>
      </c>
      <c r="G142" s="13">
        <v>4526.1000999999997</v>
      </c>
      <c r="H142" s="10" t="str">
        <f t="shared" si="11"/>
        <v>Ovalidad  maxima del 1.89%</v>
      </c>
    </row>
    <row r="143" spans="1:8" x14ac:dyDescent="0.25">
      <c r="A143" s="10" t="s">
        <v>222</v>
      </c>
      <c r="B143" s="11">
        <v>4543.38501</v>
      </c>
      <c r="C143" s="11">
        <v>4573.7496099999998</v>
      </c>
      <c r="D143" s="11" t="str">
        <f t="shared" si="9"/>
        <v>I</v>
      </c>
      <c r="E143" s="14">
        <f t="shared" si="10"/>
        <v>1.87068939E-2</v>
      </c>
      <c r="F143" s="13">
        <v>1.8706893899999999</v>
      </c>
      <c r="G143" s="13">
        <v>4549.9902300000003</v>
      </c>
      <c r="H143" s="10" t="str">
        <f t="shared" si="11"/>
        <v>Ovalidad  maxima del 1.87%</v>
      </c>
    </row>
    <row r="144" spans="1:8" x14ac:dyDescent="0.25">
      <c r="A144" s="10" t="s">
        <v>223</v>
      </c>
      <c r="B144" s="11">
        <v>4574.9641899999997</v>
      </c>
      <c r="C144" s="11">
        <v>4605.5717100000002</v>
      </c>
      <c r="D144" s="11" t="str">
        <f t="shared" si="9"/>
        <v>I</v>
      </c>
      <c r="E144" s="14">
        <f t="shared" si="10"/>
        <v>1.9920874799999998E-2</v>
      </c>
      <c r="F144" s="13">
        <v>1.9920874799999999</v>
      </c>
      <c r="G144" s="13">
        <v>4588.5898399999996</v>
      </c>
      <c r="H144" s="10" t="str">
        <f t="shared" si="11"/>
        <v>Ovalidad  maxima del 1.99%</v>
      </c>
    </row>
    <row r="145" spans="1:8" x14ac:dyDescent="0.25">
      <c r="A145" s="10" t="s">
        <v>224</v>
      </c>
      <c r="B145" s="11">
        <v>4606.8470200000002</v>
      </c>
      <c r="C145" s="11">
        <v>4637.6974600000003</v>
      </c>
      <c r="D145" s="11" t="str">
        <f t="shared" si="9"/>
        <v>II</v>
      </c>
      <c r="E145" s="14">
        <f t="shared" si="10"/>
        <v>2.0738704199999999E-2</v>
      </c>
      <c r="F145" s="13">
        <v>2.07387042</v>
      </c>
      <c r="G145" s="13">
        <v>4609.8999000000003</v>
      </c>
      <c r="H145" s="10" t="str">
        <f t="shared" si="11"/>
        <v>Ovalidad  maxima del 2.07%</v>
      </c>
    </row>
    <row r="146" spans="1:8" x14ac:dyDescent="0.25">
      <c r="A146" s="10" t="s">
        <v>225</v>
      </c>
      <c r="B146" s="11">
        <v>4638.9727700000003</v>
      </c>
      <c r="C146" s="11">
        <v>4668.7907999999998</v>
      </c>
      <c r="D146" s="11" t="str">
        <f t="shared" si="9"/>
        <v>II</v>
      </c>
      <c r="E146" s="14">
        <f t="shared" si="10"/>
        <v>2.5137889399999998E-2</v>
      </c>
      <c r="F146" s="13">
        <v>2.51378894</v>
      </c>
      <c r="G146" s="13">
        <v>4666.9101600000004</v>
      </c>
      <c r="H146" s="10" t="str">
        <f t="shared" si="11"/>
        <v>Ovalidad  maxima del 2.51%</v>
      </c>
    </row>
    <row r="147" spans="1:8" x14ac:dyDescent="0.25">
      <c r="A147" s="10" t="s">
        <v>226</v>
      </c>
      <c r="B147" s="11">
        <v>4669.9446600000001</v>
      </c>
      <c r="C147" s="11">
        <v>4699.94488</v>
      </c>
      <c r="D147" s="11" t="str">
        <f t="shared" si="9"/>
        <v>II</v>
      </c>
      <c r="E147" s="14">
        <f t="shared" si="10"/>
        <v>2.7391443299999998E-2</v>
      </c>
      <c r="F147" s="13">
        <v>2.7391443299999998</v>
      </c>
      <c r="G147" s="13">
        <v>4687.3598599999996</v>
      </c>
      <c r="H147" s="10" t="str">
        <f t="shared" si="11"/>
        <v>Ovalidad  maxima del 2.74%</v>
      </c>
    </row>
    <row r="148" spans="1:8" x14ac:dyDescent="0.25">
      <c r="A148" s="10" t="s">
        <v>227</v>
      </c>
      <c r="B148" s="11">
        <v>4701.0987400000004</v>
      </c>
      <c r="C148" s="11">
        <v>4731.7062599999999</v>
      </c>
      <c r="D148" s="11" t="str">
        <f t="shared" si="9"/>
        <v>III</v>
      </c>
      <c r="E148" s="14">
        <f t="shared" si="10"/>
        <v>6.0150828399999995E-2</v>
      </c>
      <c r="F148" s="13">
        <v>6.0150828399999998</v>
      </c>
      <c r="G148" s="13">
        <v>4716.3901400000004</v>
      </c>
      <c r="H148" s="10" t="str">
        <f t="shared" si="11"/>
        <v>Ovalidad  maxima del 6.02%</v>
      </c>
    </row>
    <row r="149" spans="1:8" x14ac:dyDescent="0.25">
      <c r="A149" s="10" t="s">
        <v>228</v>
      </c>
      <c r="B149" s="11">
        <v>4732.9815699999999</v>
      </c>
      <c r="C149" s="11">
        <v>4763.8320000000003</v>
      </c>
      <c r="D149" s="11" t="str">
        <f t="shared" si="9"/>
        <v>I</v>
      </c>
      <c r="E149" s="14">
        <f t="shared" si="10"/>
        <v>1.7709027500000002E-2</v>
      </c>
      <c r="F149" s="13">
        <v>1.7709027500000001</v>
      </c>
      <c r="G149" s="13">
        <v>4763.8198199999997</v>
      </c>
      <c r="H149" s="10" t="str">
        <f t="shared" si="11"/>
        <v>Ovalidad  maxima del 1.77%</v>
      </c>
    </row>
    <row r="150" spans="1:8" x14ac:dyDescent="0.25">
      <c r="A150" s="10" t="s">
        <v>229</v>
      </c>
      <c r="B150" s="11">
        <v>4765.1680399999996</v>
      </c>
      <c r="C150" s="11">
        <v>4797.5974299999998</v>
      </c>
      <c r="D150" s="11" t="str">
        <f t="shared" si="9"/>
        <v>II</v>
      </c>
      <c r="E150" s="14">
        <f t="shared" si="10"/>
        <v>2.1532018199999999E-2</v>
      </c>
      <c r="F150" s="13">
        <v>2.15320182</v>
      </c>
      <c r="G150" s="13">
        <v>4795.1401400000004</v>
      </c>
      <c r="H150" s="10" t="str">
        <f t="shared" si="11"/>
        <v>Ovalidad  maxima del 2.15%</v>
      </c>
    </row>
    <row r="151" spans="1:8" x14ac:dyDescent="0.25">
      <c r="A151" s="10" t="s">
        <v>230</v>
      </c>
      <c r="B151" s="11">
        <v>4798.9334799999997</v>
      </c>
      <c r="C151" s="11">
        <v>4830.9984899999999</v>
      </c>
      <c r="D151" s="11" t="str">
        <f t="shared" si="9"/>
        <v>II</v>
      </c>
      <c r="E151" s="14">
        <f t="shared" si="10"/>
        <v>2.7616817999999998E-2</v>
      </c>
      <c r="F151" s="13">
        <v>2.7616817999999999</v>
      </c>
      <c r="G151" s="13">
        <v>4829.2402300000003</v>
      </c>
      <c r="H151" s="10" t="str">
        <f t="shared" si="11"/>
        <v>Ovalidad  maxima del 2.76%</v>
      </c>
    </row>
    <row r="152" spans="1:8" x14ac:dyDescent="0.25">
      <c r="A152" s="10" t="s">
        <v>231</v>
      </c>
      <c r="B152" s="11">
        <v>4832.39527</v>
      </c>
      <c r="C152" s="11">
        <v>4864.1566400000002</v>
      </c>
      <c r="D152" s="11" t="str">
        <f t="shared" si="9"/>
        <v>II</v>
      </c>
      <c r="E152" s="14">
        <f t="shared" si="10"/>
        <v>2.81031084E-2</v>
      </c>
      <c r="F152" s="13">
        <v>2.8103108400000001</v>
      </c>
      <c r="G152" s="13">
        <v>4834.0698199999997</v>
      </c>
      <c r="H152" s="10" t="str">
        <f t="shared" si="11"/>
        <v>Ovalidad  maxima del 2.81%</v>
      </c>
    </row>
    <row r="153" spans="1:8" x14ac:dyDescent="0.25">
      <c r="A153" s="10" t="s">
        <v>232</v>
      </c>
      <c r="B153" s="11">
        <v>4865.6141399999997</v>
      </c>
      <c r="C153" s="11">
        <v>4897.4969700000001</v>
      </c>
      <c r="D153" s="11" t="str">
        <f t="shared" si="9"/>
        <v>II</v>
      </c>
      <c r="E153" s="14">
        <f t="shared" si="10"/>
        <v>2.2148420799999999E-2</v>
      </c>
      <c r="F153" s="13">
        <v>2.2148420799999999</v>
      </c>
      <c r="G153" s="13">
        <v>4895.4799800000001</v>
      </c>
      <c r="H153" s="10" t="str">
        <f t="shared" si="11"/>
        <v>Ovalidad  maxima del 2.21%</v>
      </c>
    </row>
    <row r="154" spans="1:8" x14ac:dyDescent="0.25">
      <c r="A154" s="10" t="s">
        <v>233</v>
      </c>
      <c r="B154" s="11">
        <v>4898.6508199999998</v>
      </c>
      <c r="C154" s="11">
        <v>4931.3231299999998</v>
      </c>
      <c r="D154" s="11" t="str">
        <f t="shared" si="9"/>
        <v>II</v>
      </c>
      <c r="E154" s="14">
        <f t="shared" si="10"/>
        <v>4.7042360299999995E-2</v>
      </c>
      <c r="F154" s="13">
        <v>4.7042360299999997</v>
      </c>
      <c r="G154" s="13">
        <v>4924.8300799999997</v>
      </c>
      <c r="H154" s="10" t="str">
        <f t="shared" si="11"/>
        <v>Ovalidad  maxima del 4.70%</v>
      </c>
    </row>
    <row r="155" spans="1:8" x14ac:dyDescent="0.25">
      <c r="A155" s="10" t="s">
        <v>234</v>
      </c>
      <c r="B155" s="11">
        <v>4932.4769800000004</v>
      </c>
      <c r="C155" s="11">
        <v>4963.9954399999997</v>
      </c>
      <c r="D155" s="11" t="str">
        <f t="shared" si="9"/>
        <v>II</v>
      </c>
      <c r="E155" s="14">
        <f t="shared" si="10"/>
        <v>2.81697297E-2</v>
      </c>
      <c r="F155" s="13">
        <v>2.8169729700000001</v>
      </c>
      <c r="G155" s="13">
        <v>4960.4301800000003</v>
      </c>
      <c r="H155" s="10" t="str">
        <f t="shared" si="11"/>
        <v>Ovalidad  maxima del 2.82%</v>
      </c>
    </row>
    <row r="156" spans="1:8" x14ac:dyDescent="0.25">
      <c r="A156" s="10" t="s">
        <v>235</v>
      </c>
      <c r="B156" s="11">
        <v>4965.39221</v>
      </c>
      <c r="C156" s="11">
        <v>4996.9106599999996</v>
      </c>
      <c r="D156" s="11" t="str">
        <f t="shared" si="9"/>
        <v>II</v>
      </c>
      <c r="E156" s="14">
        <f t="shared" si="10"/>
        <v>3.3014178300000002E-2</v>
      </c>
      <c r="F156" s="13">
        <v>3.3014178300000001</v>
      </c>
      <c r="G156" s="13">
        <v>4986.6601600000004</v>
      </c>
      <c r="H156" s="10" t="str">
        <f t="shared" si="11"/>
        <v>Ovalidad  maxima del 3.30%</v>
      </c>
    </row>
    <row r="157" spans="1:8" x14ac:dyDescent="0.25">
      <c r="A157" s="10" t="s">
        <v>236</v>
      </c>
      <c r="B157" s="11">
        <v>4998.1252500000001</v>
      </c>
      <c r="C157" s="11">
        <v>5028.1862000000001</v>
      </c>
      <c r="D157" s="11" t="str">
        <f t="shared" si="9"/>
        <v>II</v>
      </c>
      <c r="E157" s="14">
        <f t="shared" si="10"/>
        <v>3.2417712199999997E-2</v>
      </c>
      <c r="F157" s="13">
        <v>3.24177122</v>
      </c>
      <c r="G157" s="13">
        <v>5001.7202100000004</v>
      </c>
      <c r="H157" s="10" t="str">
        <f t="shared" si="11"/>
        <v>Ovalidad  maxima del 3.24%</v>
      </c>
    </row>
    <row r="158" spans="1:8" x14ac:dyDescent="0.25">
      <c r="A158" s="10" t="s">
        <v>237</v>
      </c>
      <c r="B158" s="11">
        <v>5029.3400499999998</v>
      </c>
      <c r="C158" s="11">
        <v>5060.3119500000003</v>
      </c>
      <c r="D158" s="11" t="str">
        <f t="shared" si="9"/>
        <v>II</v>
      </c>
      <c r="E158" s="14">
        <f t="shared" si="10"/>
        <v>4.5540051499999998E-2</v>
      </c>
      <c r="F158" s="13">
        <v>4.5540051500000001</v>
      </c>
      <c r="G158" s="13">
        <v>5057.25</v>
      </c>
      <c r="H158" s="10" t="str">
        <f t="shared" si="11"/>
        <v>Ovalidad  maxima del 4.55%</v>
      </c>
    </row>
    <row r="159" spans="1:8" x14ac:dyDescent="0.25">
      <c r="A159" s="10" t="s">
        <v>238</v>
      </c>
      <c r="B159" s="11">
        <v>5061.7694499999998</v>
      </c>
      <c r="C159" s="11">
        <v>5094.4417599999997</v>
      </c>
      <c r="D159" s="11" t="str">
        <f t="shared" si="9"/>
        <v>II</v>
      </c>
      <c r="E159" s="14">
        <f t="shared" si="10"/>
        <v>4.8574481000000003E-2</v>
      </c>
      <c r="F159" s="13">
        <v>4.8574481</v>
      </c>
      <c r="G159" s="13">
        <v>5063.6699200000003</v>
      </c>
      <c r="H159" s="10" t="str">
        <f t="shared" si="11"/>
        <v>Ovalidad  maxima del 4.86%</v>
      </c>
    </row>
    <row r="160" spans="1:8" x14ac:dyDescent="0.25">
      <c r="A160" s="10" t="s">
        <v>239</v>
      </c>
      <c r="B160" s="11">
        <v>5095.83853</v>
      </c>
      <c r="C160" s="11">
        <v>5127.4784399999999</v>
      </c>
      <c r="D160" s="11" t="str">
        <f t="shared" si="9"/>
        <v>II</v>
      </c>
      <c r="E160" s="14">
        <f t="shared" si="10"/>
        <v>3.8938376899999995E-2</v>
      </c>
      <c r="F160" s="13">
        <v>3.8938376899999998</v>
      </c>
      <c r="G160" s="13">
        <v>5122.1000999999997</v>
      </c>
      <c r="H160" s="10" t="str">
        <f t="shared" si="11"/>
        <v>Ovalidad  maxima del 3.89%</v>
      </c>
    </row>
    <row r="161" spans="1:8" x14ac:dyDescent="0.25">
      <c r="A161" s="10" t="s">
        <v>240</v>
      </c>
      <c r="B161" s="11">
        <v>5128.7537499999999</v>
      </c>
      <c r="C161" s="11">
        <v>5159.8471</v>
      </c>
      <c r="D161" s="11" t="str">
        <f t="shared" si="9"/>
        <v>II</v>
      </c>
      <c r="E161" s="14">
        <f t="shared" si="10"/>
        <v>3.0366535200000003E-2</v>
      </c>
      <c r="F161" s="13">
        <v>3.0366535200000002</v>
      </c>
      <c r="G161" s="13">
        <v>5130.5600599999998</v>
      </c>
      <c r="H161" s="10" t="str">
        <f t="shared" si="11"/>
        <v>Ovalidad  maxima del 3.04%</v>
      </c>
    </row>
    <row r="162" spans="1:8" x14ac:dyDescent="0.25">
      <c r="A162" s="10" t="s">
        <v>241</v>
      </c>
      <c r="B162" s="11">
        <v>5161.0616900000005</v>
      </c>
      <c r="C162" s="11">
        <v>5192.2764900000002</v>
      </c>
      <c r="D162" s="11" t="str">
        <f t="shared" si="9"/>
        <v>I</v>
      </c>
      <c r="E162" s="14">
        <f t="shared" si="10"/>
        <v>1.8953872899999998E-2</v>
      </c>
      <c r="F162" s="13">
        <v>1.8953872899999999</v>
      </c>
      <c r="G162" s="13">
        <v>5164.0497999999998</v>
      </c>
      <c r="H162" s="10" t="str">
        <f t="shared" si="11"/>
        <v>Ovalidad  maxima del 1.90%</v>
      </c>
    </row>
    <row r="163" spans="1:8" x14ac:dyDescent="0.25">
      <c r="A163" s="10" t="s">
        <v>247</v>
      </c>
      <c r="B163" s="11">
        <v>5193.6125400000001</v>
      </c>
      <c r="C163" s="11">
        <v>5225.8597399999999</v>
      </c>
      <c r="D163" s="11" t="str">
        <f t="shared" si="9"/>
        <v>II</v>
      </c>
      <c r="E163" s="14">
        <f t="shared" si="10"/>
        <v>2.2857966399999999E-2</v>
      </c>
      <c r="F163" s="13">
        <v>2.28579664</v>
      </c>
      <c r="G163" s="13">
        <v>5214.5698199999997</v>
      </c>
      <c r="H163" s="10" t="str">
        <f t="shared" si="11"/>
        <v>Ovalidad  maxima del 2.29%</v>
      </c>
    </row>
    <row r="164" spans="1:8" x14ac:dyDescent="0.25">
      <c r="A164" s="10" t="s">
        <v>248</v>
      </c>
      <c r="B164" s="11">
        <v>5227.3172400000003</v>
      </c>
      <c r="C164" s="11">
        <v>5258.4713199999997</v>
      </c>
      <c r="D164" s="11" t="str">
        <f t="shared" si="9"/>
        <v>II</v>
      </c>
      <c r="E164" s="14">
        <f t="shared" si="10"/>
        <v>4.4273700700000002E-2</v>
      </c>
      <c r="F164" s="13">
        <v>4.4273700700000003</v>
      </c>
      <c r="G164" s="13">
        <v>5246.8300799999997</v>
      </c>
      <c r="H164" s="10" t="str">
        <f t="shared" si="11"/>
        <v>Ovalidad  maxima del 4.43%</v>
      </c>
    </row>
    <row r="165" spans="1:8" x14ac:dyDescent="0.25">
      <c r="A165" s="10" t="s">
        <v>249</v>
      </c>
      <c r="B165" s="11">
        <v>5259.6859000000004</v>
      </c>
      <c r="C165" s="11">
        <v>5286.6496699999998</v>
      </c>
      <c r="D165" s="11" t="str">
        <f t="shared" si="9"/>
        <v>II</v>
      </c>
      <c r="E165" s="14">
        <f t="shared" si="10"/>
        <v>2.3162448400000001E-2</v>
      </c>
      <c r="F165" s="13">
        <v>2.31624484</v>
      </c>
      <c r="G165" s="13">
        <v>5275.4799800000001</v>
      </c>
      <c r="H165" s="10" t="str">
        <f t="shared" si="11"/>
        <v>Ovalidad  maxima del 2.32%</v>
      </c>
    </row>
    <row r="166" spans="1:8" x14ac:dyDescent="0.25">
      <c r="A166" s="10" t="s">
        <v>250</v>
      </c>
      <c r="B166" s="11">
        <v>5288.0464400000001</v>
      </c>
      <c r="C166" s="11">
        <v>5319.6863499999999</v>
      </c>
      <c r="D166" s="11" t="str">
        <f t="shared" si="9"/>
        <v>II</v>
      </c>
      <c r="E166" s="14">
        <f t="shared" si="10"/>
        <v>3.01670003E-2</v>
      </c>
      <c r="F166" s="13">
        <v>3.01670003</v>
      </c>
      <c r="G166" s="13">
        <v>5293.2402300000003</v>
      </c>
      <c r="H166" s="10" t="str">
        <f t="shared" si="11"/>
        <v>Ovalidad  maxima del 3.02%</v>
      </c>
    </row>
    <row r="167" spans="1:8" x14ac:dyDescent="0.25">
      <c r="A167" s="10" t="s">
        <v>251</v>
      </c>
      <c r="B167" s="11">
        <v>5321.0223900000001</v>
      </c>
      <c r="C167" s="11">
        <v>5351.9942799999999</v>
      </c>
      <c r="D167" s="11" t="str">
        <f t="shared" si="9"/>
        <v>I</v>
      </c>
      <c r="E167" s="14">
        <f t="shared" si="10"/>
        <v>1.1399074799999999E-2</v>
      </c>
      <c r="F167" s="13">
        <v>1.13990748</v>
      </c>
      <c r="G167" s="13">
        <v>5330.4502000000002</v>
      </c>
      <c r="H167" s="10" t="str">
        <f t="shared" si="11"/>
        <v>Ovalidad  maxima del 1.14%</v>
      </c>
    </row>
    <row r="168" spans="1:8" x14ac:dyDescent="0.25">
      <c r="A168" s="10" t="s">
        <v>252</v>
      </c>
      <c r="B168" s="11">
        <v>5353.2695999999996</v>
      </c>
      <c r="C168" s="11">
        <v>5384.5451400000002</v>
      </c>
      <c r="D168" s="11" t="str">
        <f t="shared" si="9"/>
        <v>II</v>
      </c>
      <c r="E168" s="14">
        <f t="shared" si="10"/>
        <v>2.5503849999999998E-2</v>
      </c>
      <c r="F168" s="13">
        <v>2.5503849999999999</v>
      </c>
      <c r="G168" s="13">
        <v>5357.25</v>
      </c>
      <c r="H168" s="10" t="str">
        <f t="shared" si="11"/>
        <v>Ovalidad  maxima del 2.55%</v>
      </c>
    </row>
    <row r="169" spans="1:8" x14ac:dyDescent="0.25">
      <c r="A169" s="10" t="s">
        <v>253</v>
      </c>
      <c r="B169" s="11">
        <v>5385.8811800000003</v>
      </c>
      <c r="C169" s="11">
        <v>5417.3996299999999</v>
      </c>
      <c r="D169" s="11" t="str">
        <f t="shared" si="9"/>
        <v>II</v>
      </c>
      <c r="E169" s="14">
        <f t="shared" si="10"/>
        <v>3.0332317400000003E-2</v>
      </c>
      <c r="F169" s="13">
        <v>3.0332317400000002</v>
      </c>
      <c r="G169" s="13">
        <v>5401.7797899999996</v>
      </c>
      <c r="H169" s="10" t="str">
        <f t="shared" si="11"/>
        <v>Ovalidad  maxima del 3.03%</v>
      </c>
    </row>
    <row r="170" spans="1:8" x14ac:dyDescent="0.25">
      <c r="A170" s="10" t="s">
        <v>254</v>
      </c>
      <c r="B170" s="11">
        <v>5418.1283800000001</v>
      </c>
      <c r="C170" s="11">
        <v>5449.7075599999998</v>
      </c>
      <c r="D170" s="11" t="str">
        <f t="shared" si="9"/>
        <v>II</v>
      </c>
      <c r="E170" s="14">
        <f t="shared" si="10"/>
        <v>4.4154782300000001E-2</v>
      </c>
      <c r="F170" s="13">
        <v>4.4154782299999997</v>
      </c>
      <c r="G170" s="13">
        <v>5441.7797899999996</v>
      </c>
      <c r="H170" s="10" t="str">
        <f t="shared" si="11"/>
        <v>Ovalidad  maxima del 4.42%</v>
      </c>
    </row>
    <row r="171" spans="1:8" x14ac:dyDescent="0.25">
      <c r="A171" s="10" t="s">
        <v>255</v>
      </c>
      <c r="B171" s="11">
        <v>5451.0436099999997</v>
      </c>
      <c r="C171" s="11">
        <v>5482.6227900000004</v>
      </c>
      <c r="D171" s="11" t="str">
        <f t="shared" si="9"/>
        <v>II</v>
      </c>
      <c r="E171" s="14">
        <f t="shared" si="10"/>
        <v>4.0401177400000002E-2</v>
      </c>
      <c r="F171" s="13">
        <v>4.0401177400000003</v>
      </c>
      <c r="G171" s="13">
        <v>5465.8100599999998</v>
      </c>
      <c r="H171" s="10" t="str">
        <f t="shared" si="11"/>
        <v>Ovalidad  maxima del 4.04%</v>
      </c>
    </row>
    <row r="172" spans="1:8" x14ac:dyDescent="0.25">
      <c r="A172" s="10" t="s">
        <v>256</v>
      </c>
      <c r="B172" s="11">
        <v>5483.9588299999996</v>
      </c>
      <c r="C172" s="11">
        <v>5514.8092699999997</v>
      </c>
      <c r="D172" s="11" t="str">
        <f t="shared" si="9"/>
        <v>III</v>
      </c>
      <c r="E172" s="14">
        <f t="shared" si="10"/>
        <v>5.5867114100000004E-2</v>
      </c>
      <c r="F172" s="13">
        <v>5.5867114100000004</v>
      </c>
      <c r="G172" s="13">
        <v>5501.9399400000002</v>
      </c>
      <c r="H172" s="10" t="str">
        <f t="shared" si="11"/>
        <v>Ovalidad  maxima del 5.59%</v>
      </c>
    </row>
    <row r="173" spans="1:8" x14ac:dyDescent="0.25">
      <c r="A173" s="10" t="s">
        <v>257</v>
      </c>
      <c r="B173" s="11">
        <v>5516.1453099999999</v>
      </c>
      <c r="C173" s="11">
        <v>5548.6961600000004</v>
      </c>
      <c r="D173" s="11" t="str">
        <f t="shared" si="9"/>
        <v>II</v>
      </c>
      <c r="E173" s="14">
        <f t="shared" si="10"/>
        <v>3.33523202E-2</v>
      </c>
      <c r="F173" s="13">
        <v>3.3352320199999999</v>
      </c>
      <c r="G173" s="13">
        <v>5527.8598599999996</v>
      </c>
      <c r="H173" s="10" t="str">
        <f t="shared" si="11"/>
        <v>Ovalidad  maxima del 3.34%</v>
      </c>
    </row>
    <row r="174" spans="1:8" x14ac:dyDescent="0.25">
      <c r="A174" s="10" t="s">
        <v>258</v>
      </c>
      <c r="B174" s="11">
        <v>5549.9714700000004</v>
      </c>
      <c r="C174" s="11">
        <v>5581.7935699999998</v>
      </c>
      <c r="D174" s="11" t="str">
        <f t="shared" si="9"/>
        <v>II</v>
      </c>
      <c r="E174" s="14">
        <f t="shared" si="10"/>
        <v>3.09461522E-2</v>
      </c>
      <c r="F174" s="13">
        <v>3.0946152200000001</v>
      </c>
      <c r="G174" s="13">
        <v>5553.9902300000003</v>
      </c>
      <c r="H174" s="10" t="str">
        <f t="shared" si="11"/>
        <v>Ovalidad  maxima del 3.09%</v>
      </c>
    </row>
    <row r="175" spans="1:8" x14ac:dyDescent="0.25">
      <c r="A175" s="10" t="s">
        <v>259</v>
      </c>
      <c r="B175" s="11">
        <v>5583.0081600000003</v>
      </c>
      <c r="C175" s="11">
        <v>5614.3444200000004</v>
      </c>
      <c r="D175" s="11" t="str">
        <f t="shared" si="9"/>
        <v>II</v>
      </c>
      <c r="E175" s="14">
        <f t="shared" si="10"/>
        <v>3.2484116600000001E-2</v>
      </c>
      <c r="F175" s="13">
        <v>3.2484116599999999</v>
      </c>
      <c r="G175" s="13">
        <v>5589.9702100000004</v>
      </c>
      <c r="H175" s="10" t="str">
        <f t="shared" si="11"/>
        <v>Ovalidad  maxima del 3.25%</v>
      </c>
    </row>
    <row r="176" spans="1:8" x14ac:dyDescent="0.25">
      <c r="A176" s="10" t="s">
        <v>260</v>
      </c>
      <c r="B176" s="11">
        <v>5615.6197400000001</v>
      </c>
      <c r="C176" s="11">
        <v>5647.1989199999998</v>
      </c>
      <c r="D176" s="11" t="str">
        <f t="shared" si="9"/>
        <v>II</v>
      </c>
      <c r="E176" s="14">
        <f t="shared" si="10"/>
        <v>4.0502290700000006E-2</v>
      </c>
      <c r="F176" s="13">
        <v>4.0502290700000003</v>
      </c>
      <c r="G176" s="13">
        <v>5633.7002000000002</v>
      </c>
      <c r="H176" s="10" t="str">
        <f t="shared" si="11"/>
        <v>Ovalidad  maxima del 4.05%</v>
      </c>
    </row>
    <row r="177" spans="1:8" x14ac:dyDescent="0.25">
      <c r="A177" s="10" t="s">
        <v>261</v>
      </c>
      <c r="B177" s="11">
        <v>5648.4742299999998</v>
      </c>
      <c r="C177" s="11">
        <v>5679.4461199999996</v>
      </c>
      <c r="D177" s="11" t="str">
        <f t="shared" si="9"/>
        <v>I</v>
      </c>
      <c r="E177" s="14">
        <f t="shared" si="10"/>
        <v>9.7762823100000004E-3</v>
      </c>
      <c r="F177" s="13">
        <v>0.97762823099999996</v>
      </c>
      <c r="G177" s="13">
        <v>5648.6801800000003</v>
      </c>
      <c r="H177" s="10" t="str">
        <f t="shared" si="11"/>
        <v>Ovalidad  maxima del 0.98%</v>
      </c>
    </row>
    <row r="178" spans="1:8" x14ac:dyDescent="0.25">
      <c r="A178" s="10" t="s">
        <v>262</v>
      </c>
      <c r="B178" s="11">
        <v>5680.7214400000003</v>
      </c>
      <c r="C178" s="11">
        <v>5713.0293700000002</v>
      </c>
      <c r="D178" s="11" t="str">
        <f t="shared" si="9"/>
        <v>I</v>
      </c>
      <c r="E178" s="14">
        <f t="shared" si="10"/>
        <v>1.1039558599999999E-2</v>
      </c>
      <c r="F178" s="13">
        <v>1.1039558599999999</v>
      </c>
      <c r="G178" s="13">
        <v>5701.5097699999997</v>
      </c>
      <c r="H178" s="10" t="str">
        <f t="shared" si="11"/>
        <v>Ovalidad  maxima del 1.10%</v>
      </c>
    </row>
    <row r="179" spans="1:8" x14ac:dyDescent="0.25">
      <c r="A179" s="10" t="s">
        <v>263</v>
      </c>
      <c r="B179" s="11">
        <v>5714.3046800000002</v>
      </c>
      <c r="C179" s="11">
        <v>5746.91626</v>
      </c>
      <c r="D179" s="11" t="str">
        <f t="shared" si="9"/>
        <v>I</v>
      </c>
      <c r="E179" s="14">
        <f t="shared" si="10"/>
        <v>1.79960656E-2</v>
      </c>
      <c r="F179" s="13">
        <v>1.79960656</v>
      </c>
      <c r="G179" s="13">
        <v>5745.8798800000004</v>
      </c>
      <c r="H179" s="10" t="str">
        <f t="shared" si="11"/>
        <v>Ovalidad  maxima del 1.80%</v>
      </c>
    </row>
    <row r="180" spans="1:8" x14ac:dyDescent="0.25">
      <c r="A180" s="10" t="s">
        <v>264</v>
      </c>
      <c r="B180" s="11">
        <v>5748.19157</v>
      </c>
      <c r="C180" s="11">
        <v>5779.4063800000004</v>
      </c>
      <c r="D180" s="11" t="str">
        <f t="shared" si="9"/>
        <v>II</v>
      </c>
      <c r="E180" s="14">
        <f t="shared" si="10"/>
        <v>4.9682311999999999E-2</v>
      </c>
      <c r="F180" s="13">
        <v>4.9682312</v>
      </c>
      <c r="G180" s="13">
        <v>5763.6699200000003</v>
      </c>
      <c r="H180" s="10" t="str">
        <f t="shared" si="11"/>
        <v>Ovalidad  maxima del 4.97%</v>
      </c>
    </row>
    <row r="181" spans="1:8" x14ac:dyDescent="0.25">
      <c r="A181" s="10" t="s">
        <v>265</v>
      </c>
      <c r="B181" s="11">
        <v>5780.6817000000001</v>
      </c>
      <c r="C181" s="11">
        <v>5811.5928599999997</v>
      </c>
      <c r="D181" s="11" t="str">
        <f t="shared" si="9"/>
        <v>II</v>
      </c>
      <c r="E181" s="14">
        <f t="shared" si="10"/>
        <v>4.8295373899999994E-2</v>
      </c>
      <c r="F181" s="13">
        <v>4.8295373899999996</v>
      </c>
      <c r="G181" s="13">
        <v>5806.7797899999996</v>
      </c>
      <c r="H181" s="10" t="str">
        <f t="shared" si="11"/>
        <v>Ovalidad  maxima del 4.83%</v>
      </c>
    </row>
    <row r="182" spans="1:8" x14ac:dyDescent="0.25">
      <c r="A182" s="10" t="s">
        <v>266</v>
      </c>
      <c r="B182" s="11">
        <v>5812.9288999999999</v>
      </c>
      <c r="C182" s="11">
        <v>5843.3542299999999</v>
      </c>
      <c r="D182" s="11" t="str">
        <f t="shared" si="9"/>
        <v>III</v>
      </c>
      <c r="E182" s="14">
        <f t="shared" si="10"/>
        <v>5.4347562799999999E-2</v>
      </c>
      <c r="F182" s="13">
        <v>5.4347562800000002</v>
      </c>
      <c r="G182" s="13">
        <v>5816.3701199999996</v>
      </c>
      <c r="H182" s="10" t="str">
        <f t="shared" si="11"/>
        <v>Ovalidad  maxima del 5.43%</v>
      </c>
    </row>
    <row r="183" spans="1:8" x14ac:dyDescent="0.25">
      <c r="A183" s="10" t="s">
        <v>267</v>
      </c>
      <c r="B183" s="11">
        <v>5844.7510000000002</v>
      </c>
      <c r="C183" s="11">
        <v>5876.8160200000002</v>
      </c>
      <c r="D183" s="11" t="str">
        <f t="shared" si="9"/>
        <v>III</v>
      </c>
      <c r="E183" s="14">
        <f t="shared" si="10"/>
        <v>5.6164050100000001E-2</v>
      </c>
      <c r="F183" s="13">
        <v>5.6164050100000003</v>
      </c>
      <c r="G183" s="13">
        <v>5861.75</v>
      </c>
      <c r="H183" s="10" t="str">
        <f t="shared" si="11"/>
        <v>Ovalidad  maxima del 5.62%</v>
      </c>
    </row>
    <row r="184" spans="1:8" x14ac:dyDescent="0.25">
      <c r="A184" s="10" t="s">
        <v>268</v>
      </c>
      <c r="B184" s="11">
        <v>5878.1520600000003</v>
      </c>
      <c r="C184" s="11">
        <v>5910.0348899999999</v>
      </c>
      <c r="D184" s="11" t="str">
        <f t="shared" si="9"/>
        <v>II</v>
      </c>
      <c r="E184" s="14">
        <f t="shared" si="10"/>
        <v>4.69857121E-2</v>
      </c>
      <c r="F184" s="13">
        <v>4.6985712099999999</v>
      </c>
      <c r="G184" s="13">
        <v>5889.2797899999996</v>
      </c>
      <c r="H184" s="10" t="str">
        <f t="shared" si="11"/>
        <v>Ovalidad  maxima del 4.70%</v>
      </c>
    </row>
    <row r="185" spans="1:8" x14ac:dyDescent="0.25">
      <c r="A185" s="10" t="s">
        <v>269</v>
      </c>
      <c r="B185" s="11">
        <v>5911.37093</v>
      </c>
      <c r="C185" s="11">
        <v>5939.0027200000004</v>
      </c>
      <c r="D185" s="11" t="str">
        <f t="shared" si="9"/>
        <v>I</v>
      </c>
      <c r="E185" s="14">
        <f t="shared" si="10"/>
        <v>1.9124542499999998E-2</v>
      </c>
      <c r="F185" s="13">
        <v>1.9124542499999999</v>
      </c>
      <c r="G185" s="13">
        <v>5931.4101600000004</v>
      </c>
      <c r="H185" s="10" t="str">
        <f t="shared" si="11"/>
        <v>Ovalidad  maxima del 1.91%</v>
      </c>
    </row>
    <row r="186" spans="1:8" x14ac:dyDescent="0.25">
      <c r="A186" s="10" t="s">
        <v>270</v>
      </c>
      <c r="B186" s="11">
        <v>5940.2780300000004</v>
      </c>
      <c r="C186" s="11">
        <v>5971.9179400000003</v>
      </c>
      <c r="D186" s="11" t="str">
        <f t="shared" si="9"/>
        <v>II</v>
      </c>
      <c r="E186" s="14">
        <f t="shared" si="10"/>
        <v>4.9502010299999996E-2</v>
      </c>
      <c r="F186" s="13">
        <v>4.9502010299999997</v>
      </c>
      <c r="G186" s="13">
        <v>5966.0800799999997</v>
      </c>
      <c r="H186" s="10" t="str">
        <f t="shared" si="11"/>
        <v>Ovalidad  maxima del 4.95%</v>
      </c>
    </row>
    <row r="187" spans="1:8" x14ac:dyDescent="0.25">
      <c r="A187" s="10" t="s">
        <v>271</v>
      </c>
      <c r="B187" s="11">
        <v>5973.1932500000003</v>
      </c>
      <c r="C187" s="11">
        <v>6004.4687899999999</v>
      </c>
      <c r="D187" s="11" t="str">
        <f t="shared" ref="D187:D250" si="12">IF((E187)&lt;2%,"I",IF((E187)&lt;5%,"II","III"))</f>
        <v>II</v>
      </c>
      <c r="E187" s="14">
        <f t="shared" ref="E187:E250" si="13">(F187/100)</f>
        <v>3.1133980800000002E-2</v>
      </c>
      <c r="F187" s="13">
        <v>3.1133980800000001</v>
      </c>
      <c r="G187" s="13">
        <v>5996.5898399999996</v>
      </c>
      <c r="H187" s="10" t="str">
        <f t="shared" ref="H187:H250" si="14">"Ovalidad  maxima del "&amp;TEXT(E187,"0.00%")</f>
        <v>Ovalidad  maxima del 3.11%</v>
      </c>
    </row>
    <row r="188" spans="1:8" x14ac:dyDescent="0.25">
      <c r="A188" s="10" t="s">
        <v>272</v>
      </c>
      <c r="B188" s="11">
        <v>6005.6226500000002</v>
      </c>
      <c r="C188" s="11">
        <v>6037.6269300000004</v>
      </c>
      <c r="D188" s="11" t="str">
        <f t="shared" si="12"/>
        <v>II</v>
      </c>
      <c r="E188" s="14">
        <f t="shared" si="13"/>
        <v>2.4320993400000001E-2</v>
      </c>
      <c r="F188" s="13">
        <v>2.4320993400000002</v>
      </c>
      <c r="G188" s="13">
        <v>6009.0497999999998</v>
      </c>
      <c r="H188" s="10" t="str">
        <f t="shared" si="14"/>
        <v>Ovalidad  maxima del 2.43%</v>
      </c>
    </row>
    <row r="189" spans="1:8" x14ac:dyDescent="0.25">
      <c r="A189" s="10" t="s">
        <v>273</v>
      </c>
      <c r="B189" s="11">
        <v>6038.9022500000001</v>
      </c>
      <c r="C189" s="11">
        <v>6069.7526799999996</v>
      </c>
      <c r="D189" s="11" t="str">
        <f t="shared" si="12"/>
        <v>I</v>
      </c>
      <c r="E189" s="14">
        <f t="shared" si="13"/>
        <v>1.61092353E-2</v>
      </c>
      <c r="F189" s="13">
        <v>1.61092353</v>
      </c>
      <c r="G189" s="13">
        <v>6039.0400399999999</v>
      </c>
      <c r="H189" s="10" t="str">
        <f t="shared" si="14"/>
        <v>Ovalidad  maxima del 1.61%</v>
      </c>
    </row>
    <row r="190" spans="1:8" x14ac:dyDescent="0.25">
      <c r="A190" s="10" t="s">
        <v>274</v>
      </c>
      <c r="B190" s="11">
        <v>6071.1494499999999</v>
      </c>
      <c r="C190" s="11">
        <v>6101.0889500000003</v>
      </c>
      <c r="D190" s="11" t="str">
        <f t="shared" si="12"/>
        <v>I</v>
      </c>
      <c r="E190" s="14">
        <f t="shared" si="13"/>
        <v>7.5305360600000006E-3</v>
      </c>
      <c r="F190" s="13">
        <v>0.75305360600000004</v>
      </c>
      <c r="G190" s="13">
        <v>6071.5</v>
      </c>
      <c r="H190" s="10" t="str">
        <f t="shared" si="14"/>
        <v>Ovalidad  maxima del 0.75%</v>
      </c>
    </row>
    <row r="191" spans="1:8" x14ac:dyDescent="0.25">
      <c r="A191" s="10" t="s">
        <v>275</v>
      </c>
      <c r="B191" s="11">
        <v>6102.4249900000004</v>
      </c>
      <c r="C191" s="11">
        <v>6133.7005300000001</v>
      </c>
      <c r="D191" s="11" t="str">
        <f t="shared" si="12"/>
        <v>I</v>
      </c>
      <c r="E191" s="14">
        <f t="shared" si="13"/>
        <v>1.17760456E-2</v>
      </c>
      <c r="F191" s="13">
        <v>1.17760456</v>
      </c>
      <c r="G191" s="13">
        <v>6103.4301800000003</v>
      </c>
      <c r="H191" s="10" t="str">
        <f t="shared" si="14"/>
        <v>Ovalidad  maxima del 1.18%</v>
      </c>
    </row>
    <row r="192" spans="1:8" x14ac:dyDescent="0.25">
      <c r="A192" s="10" t="s">
        <v>276</v>
      </c>
      <c r="B192" s="11">
        <v>6135.1580299999996</v>
      </c>
      <c r="C192" s="11">
        <v>6166.6157499999999</v>
      </c>
      <c r="D192" s="11" t="str">
        <f t="shared" si="12"/>
        <v>I</v>
      </c>
      <c r="E192" s="14">
        <f t="shared" si="13"/>
        <v>7.2966682899999998E-3</v>
      </c>
      <c r="F192" s="13">
        <v>0.72966682900000002</v>
      </c>
      <c r="G192" s="13">
        <v>6135.1601600000004</v>
      </c>
      <c r="H192" s="10" t="str">
        <f t="shared" si="14"/>
        <v>Ovalidad  maxima del 0.73%</v>
      </c>
    </row>
    <row r="193" spans="1:8" x14ac:dyDescent="0.25">
      <c r="A193" s="10" t="s">
        <v>277</v>
      </c>
      <c r="B193" s="11">
        <v>6168.0125200000002</v>
      </c>
      <c r="C193" s="11">
        <v>6200.8670199999997</v>
      </c>
      <c r="D193" s="11" t="str">
        <f t="shared" si="12"/>
        <v>I</v>
      </c>
      <c r="E193" s="14">
        <f t="shared" si="13"/>
        <v>7.05297053E-3</v>
      </c>
      <c r="F193" s="13">
        <v>0.70529705300000001</v>
      </c>
      <c r="G193" s="13">
        <v>6168.3798800000004</v>
      </c>
      <c r="H193" s="10" t="str">
        <f t="shared" si="14"/>
        <v>Ovalidad  maxima del 0.71%</v>
      </c>
    </row>
    <row r="194" spans="1:8" x14ac:dyDescent="0.25">
      <c r="A194" s="10" t="s">
        <v>278</v>
      </c>
      <c r="B194" s="11">
        <v>6202.1423299999997</v>
      </c>
      <c r="C194" s="11">
        <v>6233.7822399999995</v>
      </c>
      <c r="D194" s="11" t="str">
        <f t="shared" si="12"/>
        <v>I</v>
      </c>
      <c r="E194" s="14">
        <f t="shared" si="13"/>
        <v>7.1924740099999999E-3</v>
      </c>
      <c r="F194" s="13">
        <v>0.71924740099999995</v>
      </c>
      <c r="G194" s="13">
        <v>6212.5200199999999</v>
      </c>
      <c r="H194" s="10" t="str">
        <f t="shared" si="14"/>
        <v>Ovalidad  maxima del 0.72%</v>
      </c>
    </row>
    <row r="195" spans="1:8" x14ac:dyDescent="0.25">
      <c r="A195" s="10" t="s">
        <v>279</v>
      </c>
      <c r="B195" s="11">
        <v>6235.3004700000001</v>
      </c>
      <c r="C195" s="11">
        <v>6265.9687199999998</v>
      </c>
      <c r="D195" s="11" t="str">
        <f t="shared" si="12"/>
        <v>I</v>
      </c>
      <c r="E195" s="14">
        <f t="shared" si="13"/>
        <v>6.4657247100000006E-3</v>
      </c>
      <c r="F195" s="13">
        <v>0.64657247100000004</v>
      </c>
      <c r="G195" s="13">
        <v>6236.6699200000003</v>
      </c>
      <c r="H195" s="10" t="str">
        <f t="shared" si="14"/>
        <v>Ovalidad  maxima del 0.65%</v>
      </c>
    </row>
    <row r="196" spans="1:8" x14ac:dyDescent="0.25">
      <c r="A196" s="10" t="s">
        <v>280</v>
      </c>
      <c r="B196" s="11">
        <v>6267.1832999999997</v>
      </c>
      <c r="C196" s="11">
        <v>6297.7908200000002</v>
      </c>
      <c r="D196" s="11" t="str">
        <f t="shared" si="12"/>
        <v>I</v>
      </c>
      <c r="E196" s="14">
        <f t="shared" si="13"/>
        <v>7.5601029399999997E-3</v>
      </c>
      <c r="F196" s="13">
        <v>0.75601029399999997</v>
      </c>
      <c r="G196" s="13">
        <v>6293.9799800000001</v>
      </c>
      <c r="H196" s="10" t="str">
        <f t="shared" si="14"/>
        <v>Ovalidad  maxima del 0.76%</v>
      </c>
    </row>
    <row r="197" spans="1:8" x14ac:dyDescent="0.25">
      <c r="A197" s="10" t="s">
        <v>281</v>
      </c>
      <c r="B197" s="11">
        <v>6299.1875899999995</v>
      </c>
      <c r="C197" s="11">
        <v>6330.5845900000004</v>
      </c>
      <c r="D197" s="11" t="str">
        <f t="shared" si="12"/>
        <v>I</v>
      </c>
      <c r="E197" s="14">
        <f t="shared" si="13"/>
        <v>7.9905039100000002E-3</v>
      </c>
      <c r="F197" s="13">
        <v>0.79905039099999997</v>
      </c>
      <c r="G197" s="13">
        <v>6309.1098599999996</v>
      </c>
      <c r="H197" s="10" t="str">
        <f t="shared" si="14"/>
        <v>Ovalidad  maxima del 0.80%</v>
      </c>
    </row>
    <row r="198" spans="1:8" x14ac:dyDescent="0.25">
      <c r="A198" s="10" t="s">
        <v>282</v>
      </c>
      <c r="B198" s="11">
        <v>6331.9813599999998</v>
      </c>
      <c r="C198" s="11">
        <v>6364.7143900000001</v>
      </c>
      <c r="D198" s="11" t="str">
        <f t="shared" si="12"/>
        <v>I</v>
      </c>
      <c r="E198" s="14">
        <f t="shared" si="13"/>
        <v>8.3672827499999998E-3</v>
      </c>
      <c r="F198" s="13">
        <v>0.83672827500000002</v>
      </c>
      <c r="G198" s="13">
        <v>6364.3300799999997</v>
      </c>
      <c r="H198" s="10" t="str">
        <f t="shared" si="14"/>
        <v>Ovalidad  maxima del 0.84%</v>
      </c>
    </row>
    <row r="199" spans="1:8" x14ac:dyDescent="0.25">
      <c r="A199" s="10" t="s">
        <v>283</v>
      </c>
      <c r="B199" s="11">
        <v>6365.9289799999997</v>
      </c>
      <c r="C199" s="11">
        <v>6398.4191000000001</v>
      </c>
      <c r="D199" s="11" t="str">
        <f t="shared" si="12"/>
        <v>I</v>
      </c>
      <c r="E199" s="14">
        <f t="shared" si="13"/>
        <v>1.5260931300000001E-2</v>
      </c>
      <c r="F199" s="13">
        <v>1.52609313</v>
      </c>
      <c r="G199" s="13">
        <v>6395.4199200000003</v>
      </c>
      <c r="H199" s="10" t="str">
        <f t="shared" si="14"/>
        <v>Ovalidad  maxima del 1.53%</v>
      </c>
    </row>
    <row r="200" spans="1:8" x14ac:dyDescent="0.25">
      <c r="A200" s="10" t="s">
        <v>284</v>
      </c>
      <c r="B200" s="11">
        <v>6399.7551400000002</v>
      </c>
      <c r="C200" s="11">
        <v>6427.81203</v>
      </c>
      <c r="D200" s="11" t="str">
        <f t="shared" si="12"/>
        <v>I</v>
      </c>
      <c r="E200" s="14">
        <f t="shared" si="13"/>
        <v>6.9577658200000005E-3</v>
      </c>
      <c r="F200" s="13">
        <v>0.69577658200000003</v>
      </c>
      <c r="G200" s="13">
        <v>6407.8701199999996</v>
      </c>
      <c r="H200" s="10" t="str">
        <f t="shared" si="14"/>
        <v>Ovalidad  maxima del 0.70%</v>
      </c>
    </row>
    <row r="201" spans="1:8" x14ac:dyDescent="0.25">
      <c r="A201" s="10" t="s">
        <v>285</v>
      </c>
      <c r="B201" s="11">
        <v>6429.1480799999999</v>
      </c>
      <c r="C201" s="11">
        <v>6461.2130900000002</v>
      </c>
      <c r="D201" s="11" t="str">
        <f t="shared" si="12"/>
        <v>I</v>
      </c>
      <c r="E201" s="14">
        <f t="shared" si="13"/>
        <v>9.4952768099999998E-3</v>
      </c>
      <c r="F201" s="13">
        <v>0.94952768099999996</v>
      </c>
      <c r="G201" s="13">
        <v>6440.3701199999996</v>
      </c>
      <c r="H201" s="10" t="str">
        <f t="shared" si="14"/>
        <v>Ovalidad  maxima del 0.95%</v>
      </c>
    </row>
    <row r="202" spans="1:8" x14ac:dyDescent="0.25">
      <c r="A202" s="10" t="s">
        <v>286</v>
      </c>
      <c r="B202" s="11">
        <v>6462.4884000000002</v>
      </c>
      <c r="C202" s="11">
        <v>6494.3712299999997</v>
      </c>
      <c r="D202" s="11" t="str">
        <f t="shared" si="12"/>
        <v>I</v>
      </c>
      <c r="E202" s="14">
        <f t="shared" si="13"/>
        <v>1.0245001300000001E-2</v>
      </c>
      <c r="F202" s="13">
        <v>1.0245001300000001</v>
      </c>
      <c r="G202" s="13">
        <v>6464.7299800000001</v>
      </c>
      <c r="H202" s="10" t="str">
        <f t="shared" si="14"/>
        <v>Ovalidad  maxima del 1.02%</v>
      </c>
    </row>
    <row r="203" spans="1:8" x14ac:dyDescent="0.25">
      <c r="A203" s="10" t="s">
        <v>287</v>
      </c>
      <c r="B203" s="11">
        <v>6495.768</v>
      </c>
      <c r="C203" s="11">
        <v>6526.2540600000002</v>
      </c>
      <c r="D203" s="11" t="str">
        <f t="shared" si="12"/>
        <v>I</v>
      </c>
      <c r="E203" s="14">
        <f t="shared" si="13"/>
        <v>6.8152308500000003E-3</v>
      </c>
      <c r="F203" s="13">
        <v>0.68152308500000003</v>
      </c>
      <c r="G203" s="13">
        <v>6496.5497999999998</v>
      </c>
      <c r="H203" s="10" t="str">
        <f t="shared" si="14"/>
        <v>Ovalidad  maxima del 0.68%</v>
      </c>
    </row>
    <row r="204" spans="1:8" x14ac:dyDescent="0.25">
      <c r="A204" s="10" t="s">
        <v>288</v>
      </c>
      <c r="B204" s="11">
        <v>6527.5901100000001</v>
      </c>
      <c r="C204" s="11">
        <v>6560.0195000000003</v>
      </c>
      <c r="D204" s="11" t="str">
        <f t="shared" si="12"/>
        <v>I</v>
      </c>
      <c r="E204" s="14">
        <f t="shared" si="13"/>
        <v>5.4062151899999999E-3</v>
      </c>
      <c r="F204" s="13">
        <v>0.54062151899999999</v>
      </c>
      <c r="G204" s="13">
        <v>6554.9702100000004</v>
      </c>
      <c r="H204" s="10" t="str">
        <f t="shared" si="14"/>
        <v>Ovalidad  maxima del 0.54%</v>
      </c>
    </row>
    <row r="205" spans="1:8" x14ac:dyDescent="0.25">
      <c r="A205" s="10" t="s">
        <v>289</v>
      </c>
      <c r="B205" s="11">
        <v>6561.4162699999997</v>
      </c>
      <c r="C205" s="11">
        <v>6592.7525299999998</v>
      </c>
      <c r="D205" s="11" t="str">
        <f t="shared" si="12"/>
        <v>I</v>
      </c>
      <c r="E205" s="14">
        <f t="shared" si="13"/>
        <v>5.1059049400000002E-3</v>
      </c>
      <c r="F205" s="13">
        <v>0.51059049400000001</v>
      </c>
      <c r="G205" s="13">
        <v>6563.7700199999999</v>
      </c>
      <c r="H205" s="10" t="str">
        <f t="shared" si="14"/>
        <v>Ovalidad  maxima del 0.51%</v>
      </c>
    </row>
    <row r="206" spans="1:8" x14ac:dyDescent="0.25">
      <c r="A206" s="10" t="s">
        <v>290</v>
      </c>
      <c r="B206" s="11">
        <v>6594.0885799999996</v>
      </c>
      <c r="C206" s="11">
        <v>6626.3965099999996</v>
      </c>
      <c r="D206" s="11" t="str">
        <f t="shared" si="12"/>
        <v>I</v>
      </c>
      <c r="E206" s="14">
        <f t="shared" si="13"/>
        <v>1.6262805499999998E-2</v>
      </c>
      <c r="F206" s="13">
        <v>1.6262805499999999</v>
      </c>
      <c r="G206" s="13">
        <v>6613.8500999999997</v>
      </c>
      <c r="H206" s="10" t="str">
        <f t="shared" si="14"/>
        <v>Ovalidad  maxima del 1.63%</v>
      </c>
    </row>
    <row r="207" spans="1:8" x14ac:dyDescent="0.25">
      <c r="A207" s="10" t="s">
        <v>291</v>
      </c>
      <c r="B207" s="11">
        <v>6627.7932799999999</v>
      </c>
      <c r="C207" s="11">
        <v>6658.5829899999999</v>
      </c>
      <c r="D207" s="11" t="str">
        <f t="shared" si="12"/>
        <v>II</v>
      </c>
      <c r="E207" s="14">
        <f t="shared" si="13"/>
        <v>4.2829284699999998E-2</v>
      </c>
      <c r="F207" s="13">
        <v>4.2829284699999999</v>
      </c>
      <c r="G207" s="13">
        <v>6653.6098599999996</v>
      </c>
      <c r="H207" s="10" t="str">
        <f t="shared" si="14"/>
        <v>Ovalidad  maxima del 4.28%</v>
      </c>
    </row>
    <row r="208" spans="1:8" x14ac:dyDescent="0.25">
      <c r="A208" s="10" t="s">
        <v>292</v>
      </c>
      <c r="B208" s="11">
        <v>6659.9797600000002</v>
      </c>
      <c r="C208" s="11">
        <v>6688.2795599999999</v>
      </c>
      <c r="D208" s="11" t="str">
        <f t="shared" si="12"/>
        <v>II</v>
      </c>
      <c r="E208" s="14">
        <f t="shared" si="13"/>
        <v>4.5850524899999995E-2</v>
      </c>
      <c r="F208" s="13">
        <v>4.5850524899999998</v>
      </c>
      <c r="G208" s="13">
        <v>6686.9199200000003</v>
      </c>
      <c r="H208" s="10" t="str">
        <f t="shared" si="14"/>
        <v>Ovalidad  maxima del 4.59%</v>
      </c>
    </row>
    <row r="209" spans="1:8" x14ac:dyDescent="0.25">
      <c r="A209" s="10" t="s">
        <v>293</v>
      </c>
      <c r="B209" s="11">
        <v>6689.7370600000004</v>
      </c>
      <c r="C209" s="11">
        <v>6719.3121799999999</v>
      </c>
      <c r="D209" s="11" t="str">
        <f t="shared" si="12"/>
        <v>II</v>
      </c>
      <c r="E209" s="14">
        <f t="shared" si="13"/>
        <v>3.5082635899999999E-2</v>
      </c>
      <c r="F209" s="13">
        <v>3.5082635899999999</v>
      </c>
      <c r="G209" s="13">
        <v>6701.7900399999999</v>
      </c>
      <c r="H209" s="10" t="str">
        <f t="shared" si="14"/>
        <v>Ovalidad  maxima del 3.51%</v>
      </c>
    </row>
    <row r="210" spans="1:8" x14ac:dyDescent="0.25">
      <c r="A210" s="10" t="s">
        <v>294</v>
      </c>
      <c r="B210" s="11">
        <v>6720.7089599999999</v>
      </c>
      <c r="C210" s="11">
        <v>6750.4662600000001</v>
      </c>
      <c r="D210" s="11" t="str">
        <f t="shared" si="12"/>
        <v>II</v>
      </c>
      <c r="E210" s="14">
        <f t="shared" si="13"/>
        <v>3.55643868E-2</v>
      </c>
      <c r="F210" s="13">
        <v>3.5564386799999999</v>
      </c>
      <c r="G210" s="13">
        <v>6725.4301800000003</v>
      </c>
      <c r="H210" s="10" t="str">
        <f t="shared" si="14"/>
        <v>Ovalidad  maxima del 3.56%</v>
      </c>
    </row>
    <row r="211" spans="1:8" x14ac:dyDescent="0.25">
      <c r="A211" s="10" t="s">
        <v>295</v>
      </c>
      <c r="B211" s="11">
        <v>6751.8630300000004</v>
      </c>
      <c r="C211" s="11">
        <v>6782.8956500000004</v>
      </c>
      <c r="D211" s="11" t="str">
        <f t="shared" si="12"/>
        <v>II</v>
      </c>
      <c r="E211" s="14">
        <f t="shared" si="13"/>
        <v>3.5077617200000001E-2</v>
      </c>
      <c r="F211" s="13">
        <v>3.50776172</v>
      </c>
      <c r="G211" s="13">
        <v>6771.6801800000003</v>
      </c>
      <c r="H211" s="10" t="str">
        <f t="shared" si="14"/>
        <v>Ovalidad  maxima del 3.51%</v>
      </c>
    </row>
    <row r="212" spans="1:8" x14ac:dyDescent="0.25">
      <c r="A212" s="10" t="s">
        <v>296</v>
      </c>
      <c r="B212" s="11">
        <v>6784.3531499999999</v>
      </c>
      <c r="C212" s="11">
        <v>6814.3533799999996</v>
      </c>
      <c r="D212" s="11" t="str">
        <f t="shared" si="12"/>
        <v>II</v>
      </c>
      <c r="E212" s="14">
        <f t="shared" si="13"/>
        <v>4.6226639699999995E-2</v>
      </c>
      <c r="F212" s="13">
        <v>4.6226639699999996</v>
      </c>
      <c r="G212" s="13">
        <v>6786.4702100000004</v>
      </c>
      <c r="H212" s="10" t="str">
        <f t="shared" si="14"/>
        <v>Ovalidad  maxima del 4.62%</v>
      </c>
    </row>
    <row r="213" spans="1:8" x14ac:dyDescent="0.25">
      <c r="A213" s="10" t="s">
        <v>297</v>
      </c>
      <c r="B213" s="11">
        <v>6815.6286899999996</v>
      </c>
      <c r="C213" s="11">
        <v>6845.9932900000003</v>
      </c>
      <c r="D213" s="11" t="str">
        <f t="shared" si="12"/>
        <v>II</v>
      </c>
      <c r="E213" s="14">
        <f t="shared" si="13"/>
        <v>2.9983053200000002E-2</v>
      </c>
      <c r="F213" s="13">
        <v>2.9983053200000001</v>
      </c>
      <c r="G213" s="13">
        <v>6819.1801800000003</v>
      </c>
      <c r="H213" s="10" t="str">
        <f t="shared" si="14"/>
        <v>Ovalidad  maxima del 3.00%</v>
      </c>
    </row>
    <row r="214" spans="1:8" x14ac:dyDescent="0.25">
      <c r="A214" s="10" t="s">
        <v>298</v>
      </c>
      <c r="B214" s="11">
        <v>6847.3900599999997</v>
      </c>
      <c r="C214" s="11">
        <v>6877.8153899999998</v>
      </c>
      <c r="D214" s="11" t="str">
        <f t="shared" si="12"/>
        <v>II</v>
      </c>
      <c r="E214" s="14">
        <f t="shared" si="13"/>
        <v>2.6988036599999998E-2</v>
      </c>
      <c r="F214" s="13">
        <v>2.6988036599999998</v>
      </c>
      <c r="G214" s="13">
        <v>6876.6499000000003</v>
      </c>
      <c r="H214" s="10" t="str">
        <f t="shared" si="14"/>
        <v>Ovalidad  maxima del 2.70%</v>
      </c>
    </row>
    <row r="215" spans="1:8" x14ac:dyDescent="0.25">
      <c r="A215" s="10" t="s">
        <v>299</v>
      </c>
      <c r="B215" s="11">
        <v>6879.3336200000003</v>
      </c>
      <c r="C215" s="11">
        <v>6909.3945700000004</v>
      </c>
      <c r="D215" s="11" t="str">
        <f t="shared" si="12"/>
        <v>II</v>
      </c>
      <c r="E215" s="14">
        <f t="shared" si="13"/>
        <v>3.13416719E-2</v>
      </c>
      <c r="F215" s="13">
        <v>3.1341671899999999</v>
      </c>
      <c r="G215" s="13">
        <v>6897.0200199999999</v>
      </c>
      <c r="H215" s="10" t="str">
        <f t="shared" si="14"/>
        <v>Ovalidad  maxima del 3.13%</v>
      </c>
    </row>
    <row r="216" spans="1:8" x14ac:dyDescent="0.25">
      <c r="A216" s="10" t="s">
        <v>300</v>
      </c>
      <c r="B216" s="11">
        <v>6911.0342600000004</v>
      </c>
      <c r="C216" s="11">
        <v>6939.4555300000002</v>
      </c>
      <c r="D216" s="11" t="str">
        <f t="shared" si="12"/>
        <v>III</v>
      </c>
      <c r="E216" s="14">
        <f t="shared" si="13"/>
        <v>6.8058614700000006E-2</v>
      </c>
      <c r="F216" s="13">
        <v>6.80586147</v>
      </c>
      <c r="G216" s="13">
        <v>6933.9301800000003</v>
      </c>
      <c r="H216" s="10" t="str">
        <f t="shared" si="14"/>
        <v>Ovalidad  maxima del 6.81%</v>
      </c>
    </row>
    <row r="217" spans="1:8" x14ac:dyDescent="0.25">
      <c r="A217" s="10" t="s">
        <v>301</v>
      </c>
      <c r="B217" s="11">
        <v>6941.03449</v>
      </c>
      <c r="C217" s="11">
        <v>6973.1602300000004</v>
      </c>
      <c r="D217" s="11" t="str">
        <f t="shared" si="12"/>
        <v>III</v>
      </c>
      <c r="E217" s="14">
        <f t="shared" si="13"/>
        <v>9.8279266399999995E-2</v>
      </c>
      <c r="F217" s="13">
        <v>9.8279266399999994</v>
      </c>
      <c r="G217" s="13">
        <v>6950.7597699999997</v>
      </c>
      <c r="H217" s="10" t="str">
        <f t="shared" si="14"/>
        <v>Ovalidad  maxima del 9.83%</v>
      </c>
    </row>
    <row r="218" spans="1:8" x14ac:dyDescent="0.25">
      <c r="A218" s="10" t="s">
        <v>302</v>
      </c>
      <c r="B218" s="11">
        <v>6974.4962800000003</v>
      </c>
      <c r="C218" s="11">
        <v>7003.4641000000001</v>
      </c>
      <c r="D218" s="11" t="str">
        <f t="shared" si="12"/>
        <v>II</v>
      </c>
      <c r="E218" s="14">
        <f t="shared" si="13"/>
        <v>3.8666036099999995E-2</v>
      </c>
      <c r="F218" s="13">
        <v>3.8666036099999999</v>
      </c>
      <c r="G218" s="13">
        <v>6983.7202100000004</v>
      </c>
      <c r="H218" s="10" t="str">
        <f t="shared" si="14"/>
        <v>Ovalidad  maxima del 3.87%</v>
      </c>
    </row>
    <row r="219" spans="1:8" x14ac:dyDescent="0.25">
      <c r="A219" s="10" t="s">
        <v>303</v>
      </c>
      <c r="B219" s="11">
        <v>7005.04306</v>
      </c>
      <c r="C219" s="11">
        <v>7035.5291200000001</v>
      </c>
      <c r="D219" s="11" t="str">
        <f t="shared" si="12"/>
        <v>II</v>
      </c>
      <c r="E219" s="14">
        <f t="shared" si="13"/>
        <v>2.7021617899999999E-2</v>
      </c>
      <c r="F219" s="13">
        <v>2.7021617899999999</v>
      </c>
      <c r="G219" s="13">
        <v>7031.1401400000004</v>
      </c>
      <c r="H219" s="10" t="str">
        <f t="shared" si="14"/>
        <v>Ovalidad  maxima del 2.70%</v>
      </c>
    </row>
    <row r="220" spans="1:8" x14ac:dyDescent="0.25">
      <c r="A220" s="10" t="s">
        <v>304</v>
      </c>
      <c r="B220" s="11">
        <v>7036.9866199999997</v>
      </c>
      <c r="C220" s="11">
        <v>7064.61841</v>
      </c>
      <c r="D220" s="11" t="str">
        <f t="shared" si="12"/>
        <v>II</v>
      </c>
      <c r="E220" s="14">
        <f t="shared" si="13"/>
        <v>2.7240524299999999E-2</v>
      </c>
      <c r="F220" s="13">
        <v>2.72405243</v>
      </c>
      <c r="G220" s="13">
        <v>7038.2202100000004</v>
      </c>
      <c r="H220" s="10" t="str">
        <f t="shared" si="14"/>
        <v>Ovalidad  maxima del 2.72%</v>
      </c>
    </row>
    <row r="221" spans="1:8" x14ac:dyDescent="0.25">
      <c r="A221" s="10" t="s">
        <v>305</v>
      </c>
      <c r="B221" s="11">
        <v>7065.9544500000002</v>
      </c>
      <c r="C221" s="11">
        <v>7095.7724799999996</v>
      </c>
      <c r="D221" s="11" t="str">
        <f t="shared" si="12"/>
        <v>I</v>
      </c>
      <c r="E221" s="14">
        <f t="shared" si="13"/>
        <v>7.25666821E-3</v>
      </c>
      <c r="F221" s="13">
        <v>0.72566682100000002</v>
      </c>
      <c r="G221" s="13">
        <v>7093.2997999999998</v>
      </c>
      <c r="H221" s="10" t="str">
        <f t="shared" si="14"/>
        <v>Ovalidad  maxima del 0.73%</v>
      </c>
    </row>
    <row r="222" spans="1:8" x14ac:dyDescent="0.25">
      <c r="A222" s="10" t="s">
        <v>306</v>
      </c>
      <c r="B222" s="11">
        <v>7097.1085300000004</v>
      </c>
      <c r="C222" s="11">
        <v>7125.5905199999997</v>
      </c>
      <c r="D222" s="11" t="str">
        <f t="shared" si="12"/>
        <v>I</v>
      </c>
      <c r="E222" s="14">
        <f t="shared" si="13"/>
        <v>8.88329744E-3</v>
      </c>
      <c r="F222" s="13">
        <v>0.88832974399999998</v>
      </c>
      <c r="G222" s="13">
        <v>7113.8100599999998</v>
      </c>
      <c r="H222" s="10" t="str">
        <f t="shared" si="14"/>
        <v>Ovalidad  maxima del 0.89%</v>
      </c>
    </row>
    <row r="223" spans="1:8" x14ac:dyDescent="0.25">
      <c r="A223" s="10" t="s">
        <v>307</v>
      </c>
      <c r="B223" s="11">
        <v>7127.1087500000003</v>
      </c>
      <c r="C223" s="11">
        <v>7156.9875199999997</v>
      </c>
      <c r="D223" s="11" t="str">
        <f t="shared" si="12"/>
        <v>I</v>
      </c>
      <c r="E223" s="14">
        <f t="shared" si="13"/>
        <v>1.255445E-2</v>
      </c>
      <c r="F223" s="13">
        <v>1.2554449999999999</v>
      </c>
      <c r="G223" s="13">
        <v>7146.0898399999996</v>
      </c>
      <c r="H223" s="10" t="str">
        <f t="shared" si="14"/>
        <v>Ovalidad  maxima del 1.26%</v>
      </c>
    </row>
    <row r="224" spans="1:8" x14ac:dyDescent="0.25">
      <c r="A224" s="10" t="s">
        <v>308</v>
      </c>
      <c r="B224" s="11">
        <v>7158.4450200000001</v>
      </c>
      <c r="C224" s="11">
        <v>7190.1456600000001</v>
      </c>
      <c r="D224" s="11" t="str">
        <f t="shared" si="12"/>
        <v>I</v>
      </c>
      <c r="E224" s="14">
        <f t="shared" si="13"/>
        <v>1.8363885900000002E-2</v>
      </c>
      <c r="F224" s="13">
        <v>1.8363885900000001</v>
      </c>
      <c r="G224" s="13">
        <v>7178.25</v>
      </c>
      <c r="H224" s="10" t="str">
        <f t="shared" si="14"/>
        <v>Ovalidad  maxima del 1.84%</v>
      </c>
    </row>
    <row r="225" spans="1:8" x14ac:dyDescent="0.25">
      <c r="A225" s="10" t="s">
        <v>309</v>
      </c>
      <c r="B225" s="11">
        <v>7191.1780500000004</v>
      </c>
      <c r="C225" s="11">
        <v>7220.51026</v>
      </c>
      <c r="D225" s="11" t="str">
        <f t="shared" si="12"/>
        <v>II</v>
      </c>
      <c r="E225" s="14">
        <f t="shared" si="13"/>
        <v>2.4732398999999999E-2</v>
      </c>
      <c r="F225" s="13">
        <v>2.4732398999999998</v>
      </c>
      <c r="G225" s="13">
        <v>7203.1499000000003</v>
      </c>
      <c r="H225" s="10" t="str">
        <f t="shared" si="14"/>
        <v>Ovalidad  maxima del 2.47%</v>
      </c>
    </row>
    <row r="226" spans="1:8" x14ac:dyDescent="0.25">
      <c r="A226" s="10" t="s">
        <v>310</v>
      </c>
      <c r="B226" s="11">
        <v>7222.0892199999998</v>
      </c>
      <c r="C226" s="11">
        <v>7251.1177699999998</v>
      </c>
      <c r="D226" s="11" t="str">
        <f t="shared" si="12"/>
        <v>I</v>
      </c>
      <c r="E226" s="14">
        <f t="shared" si="13"/>
        <v>1.7891644200000001E-2</v>
      </c>
      <c r="F226" s="13">
        <v>1.7891644200000001</v>
      </c>
      <c r="G226" s="13">
        <v>7236.8999000000003</v>
      </c>
      <c r="H226" s="10" t="str">
        <f t="shared" si="14"/>
        <v>Ovalidad  maxima del 1.79%</v>
      </c>
    </row>
    <row r="227" spans="1:8" x14ac:dyDescent="0.25">
      <c r="A227" s="10" t="s">
        <v>311</v>
      </c>
      <c r="B227" s="11">
        <v>7252.0894399999997</v>
      </c>
      <c r="C227" s="11">
        <v>7282.4540399999996</v>
      </c>
      <c r="D227" s="11" t="str">
        <f t="shared" si="12"/>
        <v>I</v>
      </c>
      <c r="E227" s="14">
        <f t="shared" si="13"/>
        <v>1.1109132799999999E-2</v>
      </c>
      <c r="F227" s="13">
        <v>1.1109132799999999</v>
      </c>
      <c r="G227" s="13">
        <v>7277.8701199999996</v>
      </c>
      <c r="H227" s="10" t="str">
        <f t="shared" si="14"/>
        <v>Ovalidad  maxima del 1.11%</v>
      </c>
    </row>
    <row r="228" spans="1:8" x14ac:dyDescent="0.25">
      <c r="A228" s="10" t="s">
        <v>312</v>
      </c>
      <c r="B228" s="11">
        <v>7284.0330000000004</v>
      </c>
      <c r="C228" s="11">
        <v>7314.8834299999999</v>
      </c>
      <c r="D228" s="11" t="str">
        <f t="shared" si="12"/>
        <v>I</v>
      </c>
      <c r="E228" s="14">
        <f t="shared" si="13"/>
        <v>7.9927951100000009E-3</v>
      </c>
      <c r="F228" s="13">
        <v>0.79927951100000005</v>
      </c>
      <c r="G228" s="13">
        <v>7284.5200199999999</v>
      </c>
      <c r="H228" s="10" t="str">
        <f t="shared" si="14"/>
        <v>Ovalidad  maxima del 0.80%</v>
      </c>
    </row>
    <row r="229" spans="1:8" x14ac:dyDescent="0.25">
      <c r="A229" s="10" t="s">
        <v>313</v>
      </c>
      <c r="B229" s="11">
        <v>7316.21947</v>
      </c>
      <c r="C229" s="11">
        <v>7346.2804299999998</v>
      </c>
      <c r="D229" s="11" t="str">
        <f t="shared" si="12"/>
        <v>II</v>
      </c>
      <c r="E229" s="14">
        <f t="shared" si="13"/>
        <v>2.9527137300000002E-2</v>
      </c>
      <c r="F229" s="13">
        <v>2.9527137300000001</v>
      </c>
      <c r="G229" s="13">
        <v>7322.5</v>
      </c>
      <c r="H229" s="10" t="str">
        <f t="shared" si="14"/>
        <v>Ovalidad  maxima del 2.95%</v>
      </c>
    </row>
    <row r="230" spans="1:8" x14ac:dyDescent="0.25">
      <c r="A230" s="10" t="s">
        <v>314</v>
      </c>
      <c r="B230" s="11">
        <v>7347.6164699999999</v>
      </c>
      <c r="C230" s="11">
        <v>7377.3737799999999</v>
      </c>
      <c r="D230" s="11" t="str">
        <f t="shared" si="12"/>
        <v>I</v>
      </c>
      <c r="E230" s="14">
        <f t="shared" si="13"/>
        <v>7.3867195799999993E-3</v>
      </c>
      <c r="F230" s="13">
        <v>0.73867195799999996</v>
      </c>
      <c r="G230" s="13">
        <v>7349.3100599999998</v>
      </c>
      <c r="H230" s="10" t="str">
        <f t="shared" si="14"/>
        <v>Ovalidad  maxima del 0.74%</v>
      </c>
    </row>
    <row r="231" spans="1:8" x14ac:dyDescent="0.25">
      <c r="A231" s="10" t="s">
        <v>315</v>
      </c>
      <c r="B231" s="11">
        <v>7378.8312800000003</v>
      </c>
      <c r="C231" s="11">
        <v>7409.0744199999999</v>
      </c>
      <c r="D231" s="11" t="str">
        <f t="shared" si="12"/>
        <v>I</v>
      </c>
      <c r="E231" s="14">
        <f t="shared" si="13"/>
        <v>5.31432867E-3</v>
      </c>
      <c r="F231" s="13">
        <v>0.53143286700000003</v>
      </c>
      <c r="G231" s="13">
        <v>7393.4199200000003</v>
      </c>
      <c r="H231" s="10" t="str">
        <f t="shared" si="14"/>
        <v>Ovalidad  maxima del 0.53%</v>
      </c>
    </row>
    <row r="232" spans="1:8" x14ac:dyDescent="0.25">
      <c r="A232" s="10" t="s">
        <v>316</v>
      </c>
      <c r="B232" s="11">
        <v>7410.3497299999999</v>
      </c>
      <c r="C232" s="11">
        <v>7441.0179799999996</v>
      </c>
      <c r="D232" s="11" t="str">
        <f t="shared" si="12"/>
        <v>I</v>
      </c>
      <c r="E232" s="14">
        <f t="shared" si="13"/>
        <v>6.4701736000000003E-3</v>
      </c>
      <c r="F232" s="13">
        <v>0.64701735999999999</v>
      </c>
      <c r="G232" s="13">
        <v>7411.3999000000003</v>
      </c>
      <c r="H232" s="10" t="str">
        <f t="shared" si="14"/>
        <v>Ovalidad  maxima del 0.65%</v>
      </c>
    </row>
    <row r="233" spans="1:8" x14ac:dyDescent="0.25">
      <c r="A233" s="10" t="s">
        <v>317</v>
      </c>
      <c r="B233" s="11">
        <v>7442.4754800000001</v>
      </c>
      <c r="C233" s="11">
        <v>7473.14372</v>
      </c>
      <c r="D233" s="11" t="str">
        <f t="shared" si="12"/>
        <v>I</v>
      </c>
      <c r="E233" s="14">
        <f t="shared" si="13"/>
        <v>8.4481930700000003E-3</v>
      </c>
      <c r="F233" s="13">
        <v>0.84481930699999996</v>
      </c>
      <c r="G233" s="13">
        <v>7468.2797899999996</v>
      </c>
      <c r="H233" s="10" t="str">
        <f t="shared" si="14"/>
        <v>Ovalidad  maxima del 0.84%</v>
      </c>
    </row>
    <row r="234" spans="1:8" x14ac:dyDescent="0.25">
      <c r="A234" s="10" t="s">
        <v>318</v>
      </c>
      <c r="B234" s="11">
        <v>7474.6012199999996</v>
      </c>
      <c r="C234" s="11">
        <v>7505.1480099999999</v>
      </c>
      <c r="D234" s="11" t="str">
        <f t="shared" si="12"/>
        <v>I</v>
      </c>
      <c r="E234" s="14">
        <f t="shared" si="13"/>
        <v>7.2353255699999994E-3</v>
      </c>
      <c r="F234" s="13">
        <v>0.72353255699999997</v>
      </c>
      <c r="G234" s="13">
        <v>7494.8100599999998</v>
      </c>
      <c r="H234" s="10" t="str">
        <f t="shared" si="14"/>
        <v>Ovalidad  maxima del 0.72%</v>
      </c>
    </row>
    <row r="235" spans="1:8" x14ac:dyDescent="0.25">
      <c r="A235" s="10" t="s">
        <v>319</v>
      </c>
      <c r="B235" s="11">
        <v>7506.6662399999996</v>
      </c>
      <c r="C235" s="11">
        <v>7534.8167400000002</v>
      </c>
      <c r="D235" s="11" t="str">
        <f t="shared" si="12"/>
        <v>I</v>
      </c>
      <c r="E235" s="14">
        <f t="shared" si="13"/>
        <v>7.4076288900000002E-3</v>
      </c>
      <c r="F235" s="13">
        <v>0.74076288899999998</v>
      </c>
      <c r="G235" s="13">
        <v>7512.8398399999996</v>
      </c>
      <c r="H235" s="10" t="str">
        <f t="shared" si="14"/>
        <v>Ovalidad  maxima del 0.74%</v>
      </c>
    </row>
    <row r="236" spans="1:8" x14ac:dyDescent="0.25">
      <c r="A236" s="10" t="s">
        <v>320</v>
      </c>
      <c r="B236" s="11">
        <v>7536.7375000000002</v>
      </c>
      <c r="C236" s="11">
        <v>7566.8584799999999</v>
      </c>
      <c r="D236" s="11" t="str">
        <f t="shared" si="12"/>
        <v>I</v>
      </c>
      <c r="E236" s="14">
        <f t="shared" si="13"/>
        <v>7.4236089000000007E-3</v>
      </c>
      <c r="F236" s="13">
        <v>0.74236089000000005</v>
      </c>
      <c r="G236" s="13">
        <v>7564.2202100000004</v>
      </c>
      <c r="H236" s="10" t="str">
        <f t="shared" si="14"/>
        <v>Ovalidad  maxima del 0.74%</v>
      </c>
    </row>
    <row r="237" spans="1:8" x14ac:dyDescent="0.25">
      <c r="A237" s="10" t="s">
        <v>321</v>
      </c>
      <c r="B237" s="11">
        <v>7568.69193</v>
      </c>
      <c r="C237" s="11">
        <v>7598.9875199999997</v>
      </c>
      <c r="D237" s="11" t="str">
        <f t="shared" si="12"/>
        <v>I</v>
      </c>
      <c r="E237" s="14">
        <f t="shared" si="13"/>
        <v>1.6416604500000001E-2</v>
      </c>
      <c r="F237" s="13">
        <v>1.64166045</v>
      </c>
      <c r="G237" s="13">
        <v>7597.7597699999997</v>
      </c>
      <c r="H237" s="10" t="str">
        <f t="shared" si="14"/>
        <v>Ovalidad  maxima del 1.64%</v>
      </c>
    </row>
    <row r="238" spans="1:8" x14ac:dyDescent="0.25">
      <c r="A238" s="10" t="s">
        <v>322</v>
      </c>
      <c r="B238" s="11">
        <v>7601.3448200000003</v>
      </c>
      <c r="C238" s="11">
        <v>7631.2911800000002</v>
      </c>
      <c r="D238" s="11" t="str">
        <f t="shared" si="12"/>
        <v>III</v>
      </c>
      <c r="E238" s="14">
        <f t="shared" si="13"/>
        <v>5.5331711800000002E-2</v>
      </c>
      <c r="F238" s="13">
        <v>5.5331711800000001</v>
      </c>
      <c r="G238" s="13">
        <v>7619.1098599999996</v>
      </c>
      <c r="H238" s="10" t="str">
        <f t="shared" si="14"/>
        <v>Ovalidad  maxima del 5.53%</v>
      </c>
    </row>
    <row r="239" spans="1:8" x14ac:dyDescent="0.25">
      <c r="A239" s="10" t="s">
        <v>323</v>
      </c>
      <c r="B239" s="11">
        <v>7633.1246300000003</v>
      </c>
      <c r="C239" s="11">
        <v>7663.42022</v>
      </c>
      <c r="D239" s="11" t="str">
        <f t="shared" si="12"/>
        <v>III</v>
      </c>
      <c r="E239" s="14">
        <f t="shared" si="13"/>
        <v>7.401439189999999E-2</v>
      </c>
      <c r="F239" s="13">
        <v>7.4014391899999996</v>
      </c>
      <c r="G239" s="13">
        <v>7661.3598599999996</v>
      </c>
      <c r="H239" s="10" t="str">
        <f t="shared" si="14"/>
        <v>Ovalidad  maxima del 7.40%</v>
      </c>
    </row>
    <row r="240" spans="1:8" x14ac:dyDescent="0.25">
      <c r="A240" s="10" t="s">
        <v>324</v>
      </c>
      <c r="B240" s="11">
        <v>7665.4282899999998</v>
      </c>
      <c r="C240" s="11">
        <v>7695.6365800000003</v>
      </c>
      <c r="D240" s="11" t="str">
        <f t="shared" si="12"/>
        <v>III</v>
      </c>
      <c r="E240" s="14">
        <f t="shared" si="13"/>
        <v>6.1353521300000005E-2</v>
      </c>
      <c r="F240" s="13">
        <v>6.1353521300000002</v>
      </c>
      <c r="G240" s="13">
        <v>7692.0297899999996</v>
      </c>
      <c r="H240" s="10" t="str">
        <f t="shared" si="14"/>
        <v>Ovalidad  maxima del 6.14%</v>
      </c>
    </row>
    <row r="241" spans="1:8" x14ac:dyDescent="0.25">
      <c r="A241" s="10" t="s">
        <v>325</v>
      </c>
      <c r="B241" s="11">
        <v>7697.7319500000003</v>
      </c>
      <c r="C241" s="11">
        <v>7728.2021500000001</v>
      </c>
      <c r="D241" s="11" t="str">
        <f t="shared" si="12"/>
        <v>III</v>
      </c>
      <c r="E241" s="14">
        <f t="shared" si="13"/>
        <v>9.67291069E-2</v>
      </c>
      <c r="F241" s="13">
        <v>9.6729106900000001</v>
      </c>
      <c r="G241" s="13">
        <v>7722.7402300000003</v>
      </c>
      <c r="H241" s="10" t="str">
        <f t="shared" si="14"/>
        <v>Ovalidad  maxima del 9.67%</v>
      </c>
    </row>
    <row r="242" spans="1:8" x14ac:dyDescent="0.25">
      <c r="A242" s="10" t="s">
        <v>326</v>
      </c>
      <c r="B242" s="11">
        <v>7730.2975299999998</v>
      </c>
      <c r="C242" s="11">
        <v>7759.45813</v>
      </c>
      <c r="D242" s="11" t="str">
        <f t="shared" si="12"/>
        <v>III</v>
      </c>
      <c r="E242" s="14">
        <f t="shared" si="13"/>
        <v>0.120584898</v>
      </c>
      <c r="F242" s="13">
        <v>12.0584898</v>
      </c>
      <c r="G242" s="13">
        <v>7735.75</v>
      </c>
      <c r="H242" s="10" t="str">
        <f t="shared" si="14"/>
        <v>Ovalidad  maxima del 12.06%</v>
      </c>
    </row>
    <row r="243" spans="1:8" x14ac:dyDescent="0.25">
      <c r="A243" s="10" t="s">
        <v>327</v>
      </c>
      <c r="B243" s="11">
        <v>7761.2042700000002</v>
      </c>
      <c r="C243" s="11">
        <v>7791.1506300000001</v>
      </c>
      <c r="D243" s="11" t="str">
        <f t="shared" si="12"/>
        <v>III</v>
      </c>
      <c r="E243" s="14">
        <f t="shared" si="13"/>
        <v>6.9203753499999993E-2</v>
      </c>
      <c r="F243" s="13">
        <v>6.9203753499999996</v>
      </c>
      <c r="G243" s="13">
        <v>7788.3598599999996</v>
      </c>
      <c r="H243" s="10" t="str">
        <f t="shared" si="14"/>
        <v>Ovalidad  maxima del 6.92%</v>
      </c>
    </row>
    <row r="244" spans="1:8" x14ac:dyDescent="0.25">
      <c r="A244" s="10" t="s">
        <v>328</v>
      </c>
      <c r="B244" s="11">
        <v>7792.8094700000001</v>
      </c>
      <c r="C244" s="11">
        <v>7822.58122</v>
      </c>
      <c r="D244" s="11" t="str">
        <f t="shared" si="12"/>
        <v>III</v>
      </c>
      <c r="E244" s="14">
        <f t="shared" si="13"/>
        <v>7.2795624700000006E-2</v>
      </c>
      <c r="F244" s="13">
        <v>7.2795624700000001</v>
      </c>
      <c r="G244" s="13">
        <v>7802.5297899999996</v>
      </c>
      <c r="H244" s="10" t="str">
        <f t="shared" si="14"/>
        <v>Ovalidad  maxima del 7.28%</v>
      </c>
    </row>
    <row r="245" spans="1:8" x14ac:dyDescent="0.25">
      <c r="A245" s="10" t="s">
        <v>329</v>
      </c>
      <c r="B245" s="11">
        <v>7824.2400600000001</v>
      </c>
      <c r="C245" s="11">
        <v>7854.6229599999997</v>
      </c>
      <c r="D245" s="11" t="str">
        <f t="shared" si="12"/>
        <v>III</v>
      </c>
      <c r="E245" s="14">
        <f t="shared" si="13"/>
        <v>0.11301072100000001</v>
      </c>
      <c r="F245" s="13">
        <v>11.301072100000001</v>
      </c>
      <c r="G245" s="13">
        <v>7844.7202100000004</v>
      </c>
      <c r="H245" s="10" t="str">
        <f t="shared" si="14"/>
        <v>Ovalidad  maxima del 11.30%</v>
      </c>
    </row>
    <row r="246" spans="1:8" x14ac:dyDescent="0.25">
      <c r="A246" s="10" t="s">
        <v>330</v>
      </c>
      <c r="B246" s="11">
        <v>7856.5437199999997</v>
      </c>
      <c r="C246" s="11">
        <v>7881.9501099999998</v>
      </c>
      <c r="D246" s="11" t="str">
        <f t="shared" si="12"/>
        <v>III</v>
      </c>
      <c r="E246" s="14">
        <f t="shared" si="13"/>
        <v>0.12490893399999999</v>
      </c>
      <c r="F246" s="13">
        <v>12.490893399999999</v>
      </c>
      <c r="G246" s="13">
        <v>7878.5400399999999</v>
      </c>
      <c r="H246" s="10" t="str">
        <f t="shared" si="14"/>
        <v>Ovalidad  maxima del 12.49%</v>
      </c>
    </row>
    <row r="247" spans="1:8" x14ac:dyDescent="0.25">
      <c r="A247" s="10" t="s">
        <v>331</v>
      </c>
      <c r="B247" s="11">
        <v>7883.87086</v>
      </c>
      <c r="C247" s="11">
        <v>7913.9045400000005</v>
      </c>
      <c r="D247" s="11" t="str">
        <f t="shared" si="12"/>
        <v>III</v>
      </c>
      <c r="E247" s="14">
        <f t="shared" si="13"/>
        <v>0.10327022599999999</v>
      </c>
      <c r="F247" s="13">
        <v>10.327022599999999</v>
      </c>
      <c r="G247" s="13">
        <v>7887.6098599999996</v>
      </c>
      <c r="H247" s="10" t="str">
        <f t="shared" si="14"/>
        <v>Ovalidad  maxima del 10.33%</v>
      </c>
    </row>
    <row r="248" spans="1:8" x14ac:dyDescent="0.25">
      <c r="A248" s="10" t="s">
        <v>332</v>
      </c>
      <c r="B248" s="11">
        <v>7915.8252899999998</v>
      </c>
      <c r="C248" s="11">
        <v>7942.0174500000003</v>
      </c>
      <c r="D248" s="11" t="str">
        <f t="shared" si="12"/>
        <v>III</v>
      </c>
      <c r="E248" s="14">
        <f t="shared" si="13"/>
        <v>0.12847144099999999</v>
      </c>
      <c r="F248" s="13">
        <v>12.8471441</v>
      </c>
      <c r="G248" s="13">
        <v>7930.6601600000004</v>
      </c>
      <c r="H248" s="10" t="str">
        <f t="shared" si="14"/>
        <v>Ovalidad  maxima del 12.85%</v>
      </c>
    </row>
    <row r="249" spans="1:8" x14ac:dyDescent="0.25">
      <c r="A249" s="10" t="s">
        <v>333</v>
      </c>
      <c r="B249" s="11">
        <v>7944.1128200000003</v>
      </c>
      <c r="C249" s="11">
        <v>7974.0591899999999</v>
      </c>
      <c r="D249" s="11" t="str">
        <f t="shared" si="12"/>
        <v>II</v>
      </c>
      <c r="E249" s="14">
        <f t="shared" si="13"/>
        <v>4.7938175200000002E-2</v>
      </c>
      <c r="F249" s="13">
        <v>4.7938175200000002</v>
      </c>
      <c r="G249" s="13">
        <v>7974.0600599999998</v>
      </c>
      <c r="H249" s="10" t="str">
        <f t="shared" si="14"/>
        <v>Ovalidad  maxima del 4.79%</v>
      </c>
    </row>
    <row r="250" spans="1:8" x14ac:dyDescent="0.25">
      <c r="A250" s="10" t="s">
        <v>334</v>
      </c>
      <c r="B250" s="11">
        <v>7976.2418699999998</v>
      </c>
      <c r="C250" s="11">
        <v>8005.2278500000002</v>
      </c>
      <c r="D250" s="11" t="str">
        <f t="shared" si="12"/>
        <v>III</v>
      </c>
      <c r="E250" s="14">
        <f t="shared" si="13"/>
        <v>6.7925648699999994E-2</v>
      </c>
      <c r="F250" s="13">
        <v>6.7925648699999996</v>
      </c>
      <c r="G250" s="13">
        <v>7989.75</v>
      </c>
      <c r="H250" s="10" t="str">
        <f t="shared" si="14"/>
        <v>Ovalidad  maxima del 6.79%</v>
      </c>
    </row>
    <row r="251" spans="1:8" x14ac:dyDescent="0.25">
      <c r="A251" s="10" t="s">
        <v>335</v>
      </c>
      <c r="B251" s="11">
        <v>8007.5851499999999</v>
      </c>
      <c r="C251" s="11">
        <v>8037.5315099999998</v>
      </c>
      <c r="D251" s="11" t="str">
        <f t="shared" ref="D251:D307" si="15">IF((E251)&lt;2%,"I",IF((E251)&lt;5%,"II","III"))</f>
        <v>III</v>
      </c>
      <c r="E251" s="14">
        <f t="shared" ref="E251:E307" si="16">(F251/100)</f>
        <v>6.6821145999999998E-2</v>
      </c>
      <c r="F251" s="13">
        <v>6.6821146000000002</v>
      </c>
      <c r="G251" s="13">
        <v>8009.0898399999996</v>
      </c>
      <c r="H251" s="10" t="str">
        <f t="shared" ref="H251:H307" si="17">"Ovalidad  maxima del "&amp;TEXT(E251,"0.00%")</f>
        <v>Ovalidad  maxima del 6.68%</v>
      </c>
    </row>
    <row r="252" spans="1:8" x14ac:dyDescent="0.25">
      <c r="A252" s="10" t="s">
        <v>336</v>
      </c>
      <c r="B252" s="11">
        <v>8039.5395699999999</v>
      </c>
      <c r="C252" s="11">
        <v>8063.8982800000003</v>
      </c>
      <c r="D252" s="11" t="str">
        <f t="shared" si="15"/>
        <v>III</v>
      </c>
      <c r="E252" s="14">
        <f t="shared" si="16"/>
        <v>6.2569613499999996E-2</v>
      </c>
      <c r="F252" s="13">
        <v>6.2569613500000001</v>
      </c>
      <c r="G252" s="13">
        <v>8046.6000999999997</v>
      </c>
      <c r="H252" s="10" t="str">
        <f t="shared" si="17"/>
        <v>Ovalidad  maxima del 6.26%</v>
      </c>
    </row>
    <row r="253" spans="1:8" x14ac:dyDescent="0.25">
      <c r="A253" s="10" t="s">
        <v>337</v>
      </c>
      <c r="B253" s="11">
        <v>8066.0809600000002</v>
      </c>
      <c r="C253" s="11">
        <v>8094.9796399999996</v>
      </c>
      <c r="D253" s="11" t="str">
        <f t="shared" si="15"/>
        <v>III</v>
      </c>
      <c r="E253" s="14">
        <f t="shared" si="16"/>
        <v>6.7141389800000006E-2</v>
      </c>
      <c r="F253" s="13">
        <v>6.7141389800000004</v>
      </c>
      <c r="G253" s="13">
        <v>8070.5698199999997</v>
      </c>
      <c r="H253" s="10" t="str">
        <f t="shared" si="17"/>
        <v>Ovalidad  maxima del 6.71%</v>
      </c>
    </row>
    <row r="254" spans="1:8" x14ac:dyDescent="0.25">
      <c r="A254" s="10" t="s">
        <v>338</v>
      </c>
      <c r="B254" s="11">
        <v>8097.0750099999996</v>
      </c>
      <c r="C254" s="11">
        <v>8123.7910099999999</v>
      </c>
      <c r="D254" s="11" t="str">
        <f t="shared" si="15"/>
        <v>III</v>
      </c>
      <c r="E254" s="14">
        <f t="shared" si="16"/>
        <v>7.8838038399999991E-2</v>
      </c>
      <c r="F254" s="13">
        <v>7.8838038399999997</v>
      </c>
      <c r="G254" s="13">
        <v>8122.9199200000003</v>
      </c>
      <c r="H254" s="10" t="str">
        <f t="shared" si="17"/>
        <v>Ovalidad  maxima del 7.88%</v>
      </c>
    </row>
    <row r="255" spans="1:8" x14ac:dyDescent="0.25">
      <c r="A255" s="10" t="s">
        <v>339</v>
      </c>
      <c r="B255" s="11">
        <v>8126.0609899999999</v>
      </c>
      <c r="C255" s="11">
        <v>8156.0073599999996</v>
      </c>
      <c r="D255" s="11" t="str">
        <f t="shared" si="15"/>
        <v>III</v>
      </c>
      <c r="E255" s="14">
        <f t="shared" si="16"/>
        <v>9.0849628399999993E-2</v>
      </c>
      <c r="F255" s="13">
        <v>9.0849628399999993</v>
      </c>
      <c r="G255" s="13">
        <v>8129.5400399999999</v>
      </c>
      <c r="H255" s="10" t="str">
        <f t="shared" si="17"/>
        <v>Ovalidad  maxima del 9.08%</v>
      </c>
    </row>
    <row r="256" spans="1:8" x14ac:dyDescent="0.25">
      <c r="A256" s="10" t="s">
        <v>340</v>
      </c>
      <c r="B256" s="11">
        <v>8158.2773500000003</v>
      </c>
      <c r="C256" s="11">
        <v>8185.8664200000003</v>
      </c>
      <c r="D256" s="11" t="str">
        <f t="shared" si="15"/>
        <v>III</v>
      </c>
      <c r="E256" s="14">
        <f t="shared" si="16"/>
        <v>8.9078693399999992E-2</v>
      </c>
      <c r="F256" s="13">
        <v>8.9078693399999995</v>
      </c>
      <c r="G256" s="13">
        <v>8164.0097699999997</v>
      </c>
      <c r="H256" s="10" t="str">
        <f t="shared" si="17"/>
        <v>Ovalidad  maxima del 8.91%</v>
      </c>
    </row>
    <row r="257" spans="1:8" x14ac:dyDescent="0.25">
      <c r="A257" s="10" t="s">
        <v>341</v>
      </c>
      <c r="B257" s="11">
        <v>8187.9617900000003</v>
      </c>
      <c r="C257" s="11">
        <v>8218.8685299999997</v>
      </c>
      <c r="D257" s="11" t="str">
        <f t="shared" si="15"/>
        <v>III</v>
      </c>
      <c r="E257" s="14">
        <f t="shared" si="16"/>
        <v>6.1112122500000005E-2</v>
      </c>
      <c r="F257" s="13">
        <v>6.1112122500000003</v>
      </c>
      <c r="G257" s="13">
        <v>8196.4296900000008</v>
      </c>
      <c r="H257" s="10" t="str">
        <f t="shared" si="17"/>
        <v>Ovalidad  maxima del 6.11%</v>
      </c>
    </row>
    <row r="258" spans="1:8" x14ac:dyDescent="0.25">
      <c r="A258" s="10" t="s">
        <v>342</v>
      </c>
      <c r="B258" s="11">
        <v>8220.8765999999996</v>
      </c>
      <c r="C258" s="11">
        <v>8248.0291300000008</v>
      </c>
      <c r="D258" s="11" t="str">
        <f t="shared" si="15"/>
        <v>II</v>
      </c>
      <c r="E258" s="14">
        <f t="shared" si="16"/>
        <v>4.9335041000000003E-2</v>
      </c>
      <c r="F258" s="13">
        <v>4.9335041000000004</v>
      </c>
      <c r="G258" s="13">
        <v>8222.9199200000003</v>
      </c>
      <c r="H258" s="10" t="str">
        <f t="shared" si="17"/>
        <v>Ovalidad  maxima del 4.93%</v>
      </c>
    </row>
    <row r="259" spans="1:8" x14ac:dyDescent="0.25">
      <c r="A259" s="10" t="s">
        <v>343</v>
      </c>
      <c r="B259" s="11">
        <v>8250.2118100000007</v>
      </c>
      <c r="C259" s="11">
        <v>8279.9835600000006</v>
      </c>
      <c r="D259" s="11" t="str">
        <f t="shared" si="15"/>
        <v>I</v>
      </c>
      <c r="E259" s="14">
        <f t="shared" si="16"/>
        <v>1.88067663E-2</v>
      </c>
      <c r="F259" s="13">
        <v>1.88067663</v>
      </c>
      <c r="G259" s="13">
        <v>8251.3496099999993</v>
      </c>
      <c r="H259" s="10" t="str">
        <f t="shared" si="17"/>
        <v>Ovalidad  maxima del 1.88%</v>
      </c>
    </row>
    <row r="260" spans="1:8" x14ac:dyDescent="0.25">
      <c r="A260" s="10" t="s">
        <v>344</v>
      </c>
      <c r="B260" s="11">
        <v>8282.4281599999995</v>
      </c>
      <c r="C260" s="11">
        <v>8312.7856200000006</v>
      </c>
      <c r="D260" s="11" t="str">
        <f t="shared" si="15"/>
        <v>I</v>
      </c>
      <c r="E260" s="14">
        <f t="shared" si="16"/>
        <v>1.59403646E-2</v>
      </c>
      <c r="F260" s="13">
        <v>1.5940364600000001</v>
      </c>
      <c r="G260" s="13">
        <v>8309.1904300000006</v>
      </c>
      <c r="H260" s="10" t="str">
        <f t="shared" si="17"/>
        <v>Ovalidad  maxima del 1.59%</v>
      </c>
    </row>
    <row r="261" spans="1:8" x14ac:dyDescent="0.25">
      <c r="A261" s="10" t="s">
        <v>345</v>
      </c>
      <c r="B261" s="11">
        <v>8314.4253100000005</v>
      </c>
      <c r="C261" s="11">
        <v>8346.7332399999996</v>
      </c>
      <c r="D261" s="11" t="str">
        <f t="shared" si="15"/>
        <v>I</v>
      </c>
      <c r="E261" s="14">
        <f t="shared" si="16"/>
        <v>1.6931520700000001E-2</v>
      </c>
      <c r="F261" s="13">
        <v>1.69315207</v>
      </c>
      <c r="G261" s="13">
        <v>8345.5703099999992</v>
      </c>
      <c r="H261" s="10" t="str">
        <f t="shared" si="17"/>
        <v>Ovalidad  maxima del 1.69%</v>
      </c>
    </row>
    <row r="262" spans="1:8" x14ac:dyDescent="0.25">
      <c r="A262" s="10" t="s">
        <v>346</v>
      </c>
      <c r="B262" s="11">
        <v>8347.6441799999993</v>
      </c>
      <c r="C262" s="11">
        <v>8377.0978400000004</v>
      </c>
      <c r="D262" s="11" t="str">
        <f t="shared" si="15"/>
        <v>II</v>
      </c>
      <c r="E262" s="14">
        <f t="shared" si="16"/>
        <v>2.5176207999999999E-2</v>
      </c>
      <c r="F262" s="13">
        <v>2.5176208</v>
      </c>
      <c r="G262" s="13">
        <v>8350.5703099999992</v>
      </c>
      <c r="H262" s="10" t="str">
        <f t="shared" si="17"/>
        <v>Ovalidad  maxima del 2.52%</v>
      </c>
    </row>
    <row r="263" spans="1:8" x14ac:dyDescent="0.25">
      <c r="A263" s="10" t="s">
        <v>347</v>
      </c>
      <c r="B263" s="11">
        <v>8378.7375300000003</v>
      </c>
      <c r="C263" s="11">
        <v>8403.8794099999996</v>
      </c>
      <c r="D263" s="11" t="str">
        <f t="shared" si="15"/>
        <v>I</v>
      </c>
      <c r="E263" s="14">
        <f t="shared" si="16"/>
        <v>1.15623403E-2</v>
      </c>
      <c r="F263" s="13">
        <v>1.15623403</v>
      </c>
      <c r="G263" s="13">
        <v>8385.5</v>
      </c>
      <c r="H263" s="10" t="str">
        <f t="shared" si="17"/>
        <v>Ovalidad  maxima del 1.16%</v>
      </c>
    </row>
    <row r="264" spans="1:8" x14ac:dyDescent="0.25">
      <c r="A264" s="10" t="s">
        <v>348</v>
      </c>
      <c r="B264" s="11">
        <v>8405.4583700000003</v>
      </c>
      <c r="C264" s="11">
        <v>8435.5800600000002</v>
      </c>
      <c r="D264" s="11" t="str">
        <f t="shared" si="15"/>
        <v>I</v>
      </c>
      <c r="E264" s="14">
        <f t="shared" si="16"/>
        <v>1.52671313E-2</v>
      </c>
      <c r="F264" s="13">
        <v>1.5267131300000001</v>
      </c>
      <c r="G264" s="13">
        <v>8428.8701199999996</v>
      </c>
      <c r="H264" s="10" t="str">
        <f t="shared" si="17"/>
        <v>Ovalidad  maxima del 1.53%</v>
      </c>
    </row>
    <row r="265" spans="1:8" x14ac:dyDescent="0.25">
      <c r="A265" s="10" t="s">
        <v>349</v>
      </c>
      <c r="B265" s="11">
        <v>8437.40193</v>
      </c>
      <c r="C265" s="11">
        <v>8466.9163200000003</v>
      </c>
      <c r="D265" s="11" t="str">
        <f t="shared" si="15"/>
        <v>I</v>
      </c>
      <c r="E265" s="14">
        <f t="shared" si="16"/>
        <v>1.8311849799999998E-2</v>
      </c>
      <c r="F265" s="13">
        <v>1.83118498</v>
      </c>
      <c r="G265" s="13">
        <v>8439.7597700000006</v>
      </c>
      <c r="H265" s="10" t="str">
        <f t="shared" si="17"/>
        <v>Ovalidad  maxima del 1.83%</v>
      </c>
    </row>
    <row r="266" spans="1:8" x14ac:dyDescent="0.25">
      <c r="A266" s="10" t="s">
        <v>350</v>
      </c>
      <c r="B266" s="11">
        <v>8468.4345499999999</v>
      </c>
      <c r="C266" s="11">
        <v>8494.9124800000009</v>
      </c>
      <c r="D266" s="11" t="str">
        <f t="shared" si="15"/>
        <v>I</v>
      </c>
      <c r="E266" s="14">
        <f t="shared" si="16"/>
        <v>8.8700795200000009E-3</v>
      </c>
      <c r="F266" s="13">
        <v>0.88700795200000004</v>
      </c>
      <c r="G266" s="13">
        <v>8486.8896499999992</v>
      </c>
      <c r="H266" s="10" t="str">
        <f t="shared" si="17"/>
        <v>Ovalidad  maxima del 0.89%</v>
      </c>
    </row>
    <row r="267" spans="1:8" x14ac:dyDescent="0.25">
      <c r="A267" s="10" t="s">
        <v>351</v>
      </c>
      <c r="B267" s="11">
        <v>8496.3699799999995</v>
      </c>
      <c r="C267" s="11">
        <v>8525.8236400000005</v>
      </c>
      <c r="D267" s="11" t="str">
        <f t="shared" si="15"/>
        <v>I</v>
      </c>
      <c r="E267" s="14">
        <f t="shared" si="16"/>
        <v>1.5444974899999998E-2</v>
      </c>
      <c r="F267" s="13">
        <v>1.5444974899999999</v>
      </c>
      <c r="G267" s="13">
        <v>8503.8896499999992</v>
      </c>
      <c r="H267" s="10" t="str">
        <f t="shared" si="17"/>
        <v>Ovalidad  maxima del 1.54%</v>
      </c>
    </row>
    <row r="268" spans="1:8" x14ac:dyDescent="0.25">
      <c r="A268" s="10" t="s">
        <v>352</v>
      </c>
      <c r="B268" s="11">
        <v>8527.4025999999994</v>
      </c>
      <c r="C268" s="11">
        <v>8558.5566799999997</v>
      </c>
      <c r="D268" s="11" t="str">
        <f t="shared" si="15"/>
        <v>II</v>
      </c>
      <c r="E268" s="14">
        <f t="shared" si="16"/>
        <v>2.2959415899999999E-2</v>
      </c>
      <c r="F268" s="13">
        <v>2.29594159</v>
      </c>
      <c r="G268" s="13">
        <v>8551.1396499999992</v>
      </c>
      <c r="H268" s="10" t="str">
        <f t="shared" si="17"/>
        <v>Ovalidad  maxima del 2.30%</v>
      </c>
    </row>
    <row r="269" spans="1:8" x14ac:dyDescent="0.25">
      <c r="A269" s="10" t="s">
        <v>353</v>
      </c>
      <c r="B269" s="11">
        <v>8560.0749099999994</v>
      </c>
      <c r="C269" s="11">
        <v>8590.6824300000007</v>
      </c>
      <c r="D269" s="11" t="str">
        <f t="shared" si="15"/>
        <v>I</v>
      </c>
      <c r="E269" s="14">
        <f t="shared" si="16"/>
        <v>1.7526720799999999E-2</v>
      </c>
      <c r="F269" s="13">
        <v>1.75267208</v>
      </c>
      <c r="G269" s="13">
        <v>8567.1201199999996</v>
      </c>
      <c r="H269" s="10" t="str">
        <f t="shared" si="17"/>
        <v>Ovalidad  maxima del 1.75%</v>
      </c>
    </row>
    <row r="270" spans="1:8" x14ac:dyDescent="0.25">
      <c r="A270" s="10" t="s">
        <v>354</v>
      </c>
      <c r="B270" s="11">
        <v>8592.1399299999994</v>
      </c>
      <c r="C270" s="11">
        <v>8622.2616099999996</v>
      </c>
      <c r="D270" s="11" t="str">
        <f t="shared" si="15"/>
        <v>II</v>
      </c>
      <c r="E270" s="14">
        <f t="shared" si="16"/>
        <v>3.1195197100000002E-2</v>
      </c>
      <c r="F270" s="13">
        <v>3.1195197100000001</v>
      </c>
      <c r="G270" s="13">
        <v>8594.7900399999999</v>
      </c>
      <c r="H270" s="10" t="str">
        <f t="shared" si="17"/>
        <v>Ovalidad  maxima del 3.12%</v>
      </c>
    </row>
    <row r="271" spans="1:8" x14ac:dyDescent="0.25">
      <c r="A271" s="10" t="s">
        <v>355</v>
      </c>
      <c r="B271" s="11">
        <v>8623.6583800000008</v>
      </c>
      <c r="C271" s="11">
        <v>8652.1403800000007</v>
      </c>
      <c r="D271" s="11" t="str">
        <f t="shared" si="15"/>
        <v>I</v>
      </c>
      <c r="E271" s="14">
        <f t="shared" si="16"/>
        <v>9.64358687E-3</v>
      </c>
      <c r="F271" s="13">
        <v>0.96435868700000005</v>
      </c>
      <c r="G271" s="13">
        <v>8636.1796900000008</v>
      </c>
      <c r="H271" s="10" t="str">
        <f t="shared" si="17"/>
        <v>Ovalidad  maxima del 0.96%</v>
      </c>
    </row>
    <row r="272" spans="1:8" x14ac:dyDescent="0.25">
      <c r="A272" s="10" t="s">
        <v>356</v>
      </c>
      <c r="B272" s="11">
        <v>8653.5371500000001</v>
      </c>
      <c r="C272" s="11">
        <v>8683.7802900000006</v>
      </c>
      <c r="D272" s="11" t="str">
        <f t="shared" si="15"/>
        <v>I</v>
      </c>
      <c r="E272" s="14">
        <f t="shared" si="16"/>
        <v>8.9446288300000006E-3</v>
      </c>
      <c r="F272" s="13">
        <v>0.89446288299999999</v>
      </c>
      <c r="G272" s="13">
        <v>8678.0097700000006</v>
      </c>
      <c r="H272" s="10" t="str">
        <f t="shared" si="17"/>
        <v>Ovalidad  maxima del 0.89%</v>
      </c>
    </row>
    <row r="273" spans="1:8" x14ac:dyDescent="0.25">
      <c r="A273" s="10" t="s">
        <v>357</v>
      </c>
      <c r="B273" s="11">
        <v>8685.3592499999995</v>
      </c>
      <c r="C273" s="11">
        <v>8715.8453100000006</v>
      </c>
      <c r="D273" s="11" t="str">
        <f t="shared" si="15"/>
        <v>I</v>
      </c>
      <c r="E273" s="14">
        <f t="shared" si="16"/>
        <v>1.6168352399999999E-2</v>
      </c>
      <c r="F273" s="13">
        <v>1.6168352399999999</v>
      </c>
      <c r="G273" s="13">
        <v>8698.4501999999993</v>
      </c>
      <c r="H273" s="10" t="str">
        <f t="shared" si="17"/>
        <v>Ovalidad  maxima del 1.62%</v>
      </c>
    </row>
    <row r="274" spans="1:8" x14ac:dyDescent="0.25">
      <c r="A274" s="10" t="s">
        <v>358</v>
      </c>
      <c r="B274" s="11">
        <v>8717.4242599999998</v>
      </c>
      <c r="C274" s="11">
        <v>8747.2422999999999</v>
      </c>
      <c r="D274" s="11" t="str">
        <f t="shared" si="15"/>
        <v>I</v>
      </c>
      <c r="E274" s="14">
        <f t="shared" si="16"/>
        <v>1.6571582600000002E-2</v>
      </c>
      <c r="F274" s="13">
        <v>1.6571582600000001</v>
      </c>
      <c r="G274" s="13">
        <v>8746.9003900000007</v>
      </c>
      <c r="H274" s="10" t="str">
        <f t="shared" si="17"/>
        <v>Ovalidad  maxima del 1.66%</v>
      </c>
    </row>
    <row r="275" spans="1:8" x14ac:dyDescent="0.25">
      <c r="A275" s="10" t="s">
        <v>359</v>
      </c>
      <c r="B275" s="11">
        <v>8748.8819899999999</v>
      </c>
      <c r="C275" s="11">
        <v>8780.5218999999997</v>
      </c>
      <c r="D275" s="11" t="str">
        <f t="shared" si="15"/>
        <v>II</v>
      </c>
      <c r="E275" s="14">
        <f t="shared" si="16"/>
        <v>2.6380782100000003E-2</v>
      </c>
      <c r="F275" s="13">
        <v>2.6380782100000002</v>
      </c>
      <c r="G275" s="13">
        <v>8752.3496099999993</v>
      </c>
      <c r="H275" s="10" t="str">
        <f t="shared" si="17"/>
        <v>Ovalidad  maxima del 2.64%</v>
      </c>
    </row>
    <row r="276" spans="1:8" x14ac:dyDescent="0.25">
      <c r="A276" s="10" t="s">
        <v>360</v>
      </c>
      <c r="B276" s="11">
        <v>8782.1008600000005</v>
      </c>
      <c r="C276" s="11">
        <v>8811.4937900000004</v>
      </c>
      <c r="D276" s="11" t="str">
        <f t="shared" si="15"/>
        <v>I</v>
      </c>
      <c r="E276" s="14">
        <f t="shared" si="16"/>
        <v>1.65748119E-2</v>
      </c>
      <c r="F276" s="13">
        <v>1.6574811899999999</v>
      </c>
      <c r="G276" s="13">
        <v>8802.75</v>
      </c>
      <c r="H276" s="10" t="str">
        <f t="shared" si="17"/>
        <v>Ovalidad  maxima del 1.66%</v>
      </c>
    </row>
    <row r="277" spans="1:8" x14ac:dyDescent="0.25">
      <c r="A277" s="10" t="s">
        <v>361</v>
      </c>
      <c r="B277" s="11">
        <v>8812.4047300000002</v>
      </c>
      <c r="C277" s="11">
        <v>8839.6721400000006</v>
      </c>
      <c r="D277" s="11" t="str">
        <f t="shared" si="15"/>
        <v>I</v>
      </c>
      <c r="E277" s="14">
        <f t="shared" si="16"/>
        <v>1.3617705099999999E-2</v>
      </c>
      <c r="F277" s="13">
        <v>1.3617705099999999</v>
      </c>
      <c r="G277" s="13">
        <v>8834.0195299999996</v>
      </c>
      <c r="H277" s="10" t="str">
        <f t="shared" si="17"/>
        <v>Ovalidad  maxima del 1.36%</v>
      </c>
    </row>
    <row r="278" spans="1:8" x14ac:dyDescent="0.25">
      <c r="A278" s="10" t="s">
        <v>362</v>
      </c>
      <c r="B278" s="11">
        <v>8841.1903700000003</v>
      </c>
      <c r="C278" s="11">
        <v>8871.7371600000006</v>
      </c>
      <c r="D278" s="11" t="str">
        <f t="shared" si="15"/>
        <v>II</v>
      </c>
      <c r="E278" s="14">
        <f t="shared" si="16"/>
        <v>3.8294799300000001E-2</v>
      </c>
      <c r="F278" s="13">
        <v>3.8294799300000002</v>
      </c>
      <c r="G278" s="13">
        <v>8871.2304700000004</v>
      </c>
      <c r="H278" s="10" t="str">
        <f t="shared" si="17"/>
        <v>Ovalidad  maxima del 3.83%</v>
      </c>
    </row>
    <row r="279" spans="1:8" x14ac:dyDescent="0.25">
      <c r="A279" s="10" t="s">
        <v>363</v>
      </c>
      <c r="B279" s="11">
        <v>8873.13393</v>
      </c>
      <c r="C279" s="11">
        <v>8902.8912400000008</v>
      </c>
      <c r="D279" s="11" t="str">
        <f t="shared" si="15"/>
        <v>II</v>
      </c>
      <c r="E279" s="14">
        <f t="shared" si="16"/>
        <v>4.5108523399999996E-2</v>
      </c>
      <c r="F279" s="13">
        <v>4.5108523399999996</v>
      </c>
      <c r="G279" s="13">
        <v>8891.6298800000004</v>
      </c>
      <c r="H279" s="10" t="str">
        <f t="shared" si="17"/>
        <v>Ovalidad  maxima del 4.51%</v>
      </c>
    </row>
    <row r="280" spans="1:8" x14ac:dyDescent="0.25">
      <c r="A280" s="10" t="s">
        <v>364</v>
      </c>
      <c r="B280" s="11">
        <v>8904.5309199999992</v>
      </c>
      <c r="C280" s="11">
        <v>8934.6526099999992</v>
      </c>
      <c r="D280" s="11" t="str">
        <f t="shared" si="15"/>
        <v>III</v>
      </c>
      <c r="E280" s="14">
        <f t="shared" si="16"/>
        <v>5.96499443E-2</v>
      </c>
      <c r="F280" s="13">
        <v>5.96499443</v>
      </c>
      <c r="G280" s="13">
        <v>8922.3496099999993</v>
      </c>
      <c r="H280" s="10" t="str">
        <f t="shared" si="17"/>
        <v>Ovalidad  maxima del 5.96%</v>
      </c>
    </row>
    <row r="281" spans="1:8" x14ac:dyDescent="0.25">
      <c r="A281" s="10" t="s">
        <v>365</v>
      </c>
      <c r="B281" s="11">
        <v>8936.2315699999999</v>
      </c>
      <c r="C281" s="11">
        <v>8963.0131399999991</v>
      </c>
      <c r="D281" s="11" t="str">
        <f t="shared" si="15"/>
        <v>I</v>
      </c>
      <c r="E281" s="14">
        <f t="shared" si="16"/>
        <v>1.41364253E-2</v>
      </c>
      <c r="F281" s="13">
        <v>1.41364253</v>
      </c>
      <c r="G281" s="13">
        <v>8941.4296900000008</v>
      </c>
      <c r="H281" s="10" t="str">
        <f t="shared" si="17"/>
        <v>Ovalidad  maxima del 1.41%</v>
      </c>
    </row>
    <row r="282" spans="1:8" x14ac:dyDescent="0.25">
      <c r="A282" s="10" t="s">
        <v>366</v>
      </c>
      <c r="B282" s="11">
        <v>8964.6528300000009</v>
      </c>
      <c r="C282" s="11">
        <v>8991.5558700000001</v>
      </c>
      <c r="D282" s="11" t="str">
        <f t="shared" si="15"/>
        <v>I</v>
      </c>
      <c r="E282" s="14">
        <f t="shared" si="16"/>
        <v>9.09890652E-3</v>
      </c>
      <c r="F282" s="13">
        <v>0.90989065199999997</v>
      </c>
      <c r="G282" s="13">
        <v>8965.0595699999994</v>
      </c>
      <c r="H282" s="10" t="str">
        <f t="shared" si="17"/>
        <v>Ovalidad  maxima del 0.91%</v>
      </c>
    </row>
    <row r="283" spans="1:8" x14ac:dyDescent="0.25">
      <c r="A283" s="10" t="s">
        <v>367</v>
      </c>
      <c r="B283" s="11">
        <v>8993.2562799999996</v>
      </c>
      <c r="C283" s="11">
        <v>9022.4670299999998</v>
      </c>
      <c r="D283" s="11" t="str">
        <f t="shared" si="15"/>
        <v>I</v>
      </c>
      <c r="E283" s="14">
        <f t="shared" si="16"/>
        <v>1.49964225E-2</v>
      </c>
      <c r="F283" s="13">
        <v>1.49964225</v>
      </c>
      <c r="G283" s="13">
        <v>9010.5498000000007</v>
      </c>
      <c r="H283" s="10" t="str">
        <f t="shared" si="17"/>
        <v>Ovalidad  maxima del 1.50%</v>
      </c>
    </row>
    <row r="284" spans="1:8" x14ac:dyDescent="0.25">
      <c r="A284" s="10" t="s">
        <v>368</v>
      </c>
      <c r="B284" s="11">
        <v>9024.2888999999996</v>
      </c>
      <c r="C284" s="11">
        <v>9054.8356899999999</v>
      </c>
      <c r="D284" s="11" t="str">
        <f t="shared" si="15"/>
        <v>I</v>
      </c>
      <c r="E284" s="14">
        <f t="shared" si="16"/>
        <v>1.2493328999999999E-2</v>
      </c>
      <c r="F284" s="13">
        <v>1.2493329</v>
      </c>
      <c r="G284" s="13">
        <v>9030.0898400000005</v>
      </c>
      <c r="H284" s="10" t="str">
        <f t="shared" si="17"/>
        <v>Ovalidad  maxima del 1.25%</v>
      </c>
    </row>
    <row r="285" spans="1:8" x14ac:dyDescent="0.25">
      <c r="A285" s="10" t="s">
        <v>369</v>
      </c>
      <c r="B285" s="11">
        <v>9056.2931900000003</v>
      </c>
      <c r="C285" s="11">
        <v>9087.9938299999994</v>
      </c>
      <c r="D285" s="11" t="str">
        <f t="shared" si="15"/>
        <v>II</v>
      </c>
      <c r="E285" s="14">
        <f t="shared" si="16"/>
        <v>2.38201356E-2</v>
      </c>
      <c r="F285" s="13">
        <v>2.3820135599999999</v>
      </c>
      <c r="G285" s="13">
        <v>9082.3398400000005</v>
      </c>
      <c r="H285" s="10" t="str">
        <f t="shared" si="17"/>
        <v>Ovalidad  maxima del 2.38%</v>
      </c>
    </row>
    <row r="286" spans="1:8" x14ac:dyDescent="0.25">
      <c r="A286" s="10" t="s">
        <v>370</v>
      </c>
      <c r="B286" s="11">
        <v>9089.4513299999999</v>
      </c>
      <c r="C286" s="11">
        <v>9119.3908300000003</v>
      </c>
      <c r="D286" s="11" t="str">
        <f t="shared" si="15"/>
        <v>I</v>
      </c>
      <c r="E286" s="14">
        <f t="shared" si="16"/>
        <v>1.48788941E-2</v>
      </c>
      <c r="F286" s="13">
        <v>1.48788941</v>
      </c>
      <c r="G286" s="13">
        <v>9119.0800799999997</v>
      </c>
      <c r="H286" s="10" t="str">
        <f t="shared" si="17"/>
        <v>Ovalidad  maxima del 1.49%</v>
      </c>
    </row>
    <row r="287" spans="1:8" x14ac:dyDescent="0.25">
      <c r="A287" s="10" t="s">
        <v>371</v>
      </c>
      <c r="B287" s="11">
        <v>9120.8483300000007</v>
      </c>
      <c r="C287" s="11">
        <v>9146.7189699999999</v>
      </c>
      <c r="D287" s="11" t="str">
        <f t="shared" si="15"/>
        <v>II</v>
      </c>
      <c r="E287" s="14">
        <f t="shared" si="16"/>
        <v>2.0649104099999999E-2</v>
      </c>
      <c r="F287" s="13">
        <v>2.06491041</v>
      </c>
      <c r="G287" s="13">
        <v>9131.3603500000008</v>
      </c>
      <c r="H287" s="10" t="str">
        <f t="shared" si="17"/>
        <v>Ovalidad  maxima del 2.06%</v>
      </c>
    </row>
    <row r="288" spans="1:8" x14ac:dyDescent="0.25">
      <c r="A288" s="10" t="s">
        <v>372</v>
      </c>
      <c r="B288" s="11">
        <v>9148.4193799999994</v>
      </c>
      <c r="C288" s="11">
        <v>9178.6018000000004</v>
      </c>
      <c r="D288" s="11" t="str">
        <f t="shared" si="15"/>
        <v>II</v>
      </c>
      <c r="E288" s="14">
        <f t="shared" si="16"/>
        <v>3.3491785500000003E-2</v>
      </c>
      <c r="F288" s="13">
        <v>3.34917855</v>
      </c>
      <c r="G288" s="13">
        <v>9178.2998000000007</v>
      </c>
      <c r="H288" s="10" t="str">
        <f t="shared" si="17"/>
        <v>Ovalidad  maxima del 3.35%</v>
      </c>
    </row>
    <row r="289" spans="1:8" x14ac:dyDescent="0.25">
      <c r="A289" s="10" t="s">
        <v>373</v>
      </c>
      <c r="B289" s="11">
        <v>9180.12003</v>
      </c>
      <c r="C289" s="11">
        <v>9210.3024399999995</v>
      </c>
      <c r="D289" s="11" t="str">
        <f t="shared" si="15"/>
        <v>III</v>
      </c>
      <c r="E289" s="14">
        <f t="shared" si="16"/>
        <v>5.1184005700000007E-2</v>
      </c>
      <c r="F289" s="13">
        <v>5.1184005700000004</v>
      </c>
      <c r="G289" s="13">
        <v>9183.1904300000006</v>
      </c>
      <c r="H289" s="10" t="str">
        <f t="shared" si="17"/>
        <v>Ovalidad  maxima del 5.12%</v>
      </c>
    </row>
    <row r="290" spans="1:8" x14ac:dyDescent="0.25">
      <c r="A290" s="10" t="s">
        <v>374</v>
      </c>
      <c r="B290" s="11">
        <v>9211.9421299999995</v>
      </c>
      <c r="C290" s="11">
        <v>9243.0354800000005</v>
      </c>
      <c r="D290" s="11" t="str">
        <f t="shared" si="15"/>
        <v>II</v>
      </c>
      <c r="E290" s="14">
        <f t="shared" si="16"/>
        <v>4.4294533699999999E-2</v>
      </c>
      <c r="F290" s="13">
        <v>4.4294533700000001</v>
      </c>
      <c r="G290" s="13">
        <v>9238.2304700000004</v>
      </c>
      <c r="H290" s="10" t="str">
        <f t="shared" si="17"/>
        <v>Ovalidad  maxima del 4.43%</v>
      </c>
    </row>
    <row r="291" spans="1:8" x14ac:dyDescent="0.25">
      <c r="A291" s="10" t="s">
        <v>375</v>
      </c>
      <c r="B291" s="11">
        <v>9244.6751600000007</v>
      </c>
      <c r="C291" s="11">
        <v>9276.0721599999997</v>
      </c>
      <c r="D291" s="11" t="str">
        <f t="shared" si="15"/>
        <v>I</v>
      </c>
      <c r="E291" s="14">
        <f t="shared" si="16"/>
        <v>1.7805541800000001E-2</v>
      </c>
      <c r="F291" s="13">
        <v>1.78055418</v>
      </c>
      <c r="G291" s="13">
        <v>9248.0400399999999</v>
      </c>
      <c r="H291" s="10" t="str">
        <f t="shared" si="17"/>
        <v>Ovalidad  maxima del 1.78%</v>
      </c>
    </row>
    <row r="292" spans="1:8" x14ac:dyDescent="0.25">
      <c r="A292" s="10" t="s">
        <v>376</v>
      </c>
      <c r="B292" s="11">
        <v>9276.9223700000002</v>
      </c>
      <c r="C292" s="11">
        <v>9307.0440500000004</v>
      </c>
      <c r="D292" s="11" t="str">
        <f t="shared" si="15"/>
        <v>II</v>
      </c>
      <c r="E292" s="14">
        <f t="shared" si="16"/>
        <v>4.4801387800000002E-2</v>
      </c>
      <c r="F292" s="13">
        <v>4.4801387799999999</v>
      </c>
      <c r="G292" s="13">
        <v>9286.7402299999994</v>
      </c>
      <c r="H292" s="10" t="str">
        <f t="shared" si="17"/>
        <v>Ovalidad  maxima del 4.48%</v>
      </c>
    </row>
    <row r="293" spans="1:8" x14ac:dyDescent="0.25">
      <c r="A293" s="10" t="s">
        <v>377</v>
      </c>
      <c r="B293" s="11">
        <v>9308.6837400000004</v>
      </c>
      <c r="C293" s="11">
        <v>9333.8863600000004</v>
      </c>
      <c r="D293" s="11" t="str">
        <f t="shared" si="15"/>
        <v>III</v>
      </c>
      <c r="E293" s="14">
        <f t="shared" si="16"/>
        <v>0.151751251</v>
      </c>
      <c r="F293" s="13">
        <v>15.175125100000001</v>
      </c>
      <c r="G293" s="13">
        <v>9328.4296900000008</v>
      </c>
      <c r="H293" s="10" t="str">
        <f t="shared" si="17"/>
        <v>Ovalidad  maxima del 15.18%</v>
      </c>
    </row>
    <row r="294" spans="1:8" x14ac:dyDescent="0.25">
      <c r="A294" s="10" t="s">
        <v>378</v>
      </c>
      <c r="B294" s="11">
        <v>9335.7082300000002</v>
      </c>
      <c r="C294" s="11">
        <v>9365.7691799999993</v>
      </c>
      <c r="D294" s="11" t="str">
        <f t="shared" si="15"/>
        <v>III</v>
      </c>
      <c r="E294" s="14">
        <f t="shared" si="16"/>
        <v>6.0390043300000001E-2</v>
      </c>
      <c r="F294" s="13">
        <v>6.03900433</v>
      </c>
      <c r="G294" s="13">
        <v>9337.5097700000006</v>
      </c>
      <c r="H294" s="10" t="str">
        <f t="shared" si="17"/>
        <v>Ovalidad  maxima del 6.04%</v>
      </c>
    </row>
    <row r="295" spans="1:8" x14ac:dyDescent="0.25">
      <c r="A295" s="10" t="s">
        <v>379</v>
      </c>
      <c r="B295" s="11">
        <v>9367.5303299999996</v>
      </c>
      <c r="C295" s="11">
        <v>9397.1054499999991</v>
      </c>
      <c r="D295" s="11" t="str">
        <f t="shared" si="15"/>
        <v>III</v>
      </c>
      <c r="E295" s="14">
        <f t="shared" si="16"/>
        <v>6.1907877899999998E-2</v>
      </c>
      <c r="F295" s="13">
        <v>6.1907877899999999</v>
      </c>
      <c r="G295" s="13">
        <v>9371.4199200000003</v>
      </c>
      <c r="H295" s="10" t="str">
        <f t="shared" si="17"/>
        <v>Ovalidad  maxima del 6.19%</v>
      </c>
    </row>
    <row r="296" spans="1:8" x14ac:dyDescent="0.25">
      <c r="A296" s="10" t="s">
        <v>380</v>
      </c>
      <c r="B296" s="11">
        <v>9398.9273300000004</v>
      </c>
      <c r="C296" s="11">
        <v>9428.6239100000003</v>
      </c>
      <c r="D296" s="11" t="str">
        <f t="shared" si="15"/>
        <v>I</v>
      </c>
      <c r="E296" s="14">
        <f t="shared" si="16"/>
        <v>1.4652333300000001E-2</v>
      </c>
      <c r="F296" s="13">
        <v>1.46523333</v>
      </c>
      <c r="G296" s="13">
        <v>9405.5800799999997</v>
      </c>
      <c r="H296" s="10" t="str">
        <f t="shared" si="17"/>
        <v>Ovalidad  maxima del 1.47%</v>
      </c>
    </row>
    <row r="297" spans="1:8" x14ac:dyDescent="0.25">
      <c r="A297" s="10" t="s">
        <v>381</v>
      </c>
      <c r="B297" s="11">
        <v>9430.2028599999994</v>
      </c>
      <c r="C297" s="11">
        <v>9454.9803800000009</v>
      </c>
      <c r="D297" s="11" t="str">
        <f t="shared" si="15"/>
        <v>III</v>
      </c>
      <c r="E297" s="14">
        <f t="shared" si="16"/>
        <v>5.5018711099999999E-2</v>
      </c>
      <c r="F297" s="13">
        <v>5.5018711099999997</v>
      </c>
      <c r="G297" s="13">
        <v>9441.8701199999996</v>
      </c>
      <c r="H297" s="10" t="str">
        <f t="shared" si="17"/>
        <v>Ovalidad  maxima del 5.50%</v>
      </c>
    </row>
    <row r="298" spans="1:8" x14ac:dyDescent="0.25">
      <c r="A298" s="10" t="s">
        <v>382</v>
      </c>
      <c r="B298" s="11">
        <v>9456.5593399999998</v>
      </c>
      <c r="C298" s="11">
        <v>9487.4097700000002</v>
      </c>
      <c r="D298" s="11" t="str">
        <f t="shared" si="15"/>
        <v>I</v>
      </c>
      <c r="E298" s="14">
        <f t="shared" si="16"/>
        <v>1.4930149299999999E-2</v>
      </c>
      <c r="F298" s="13">
        <v>1.49301493</v>
      </c>
      <c r="G298" s="13">
        <v>9458.5595699999994</v>
      </c>
      <c r="H298" s="10" t="str">
        <f t="shared" si="17"/>
        <v>Ovalidad  maxima del 1.49%</v>
      </c>
    </row>
    <row r="299" spans="1:8" x14ac:dyDescent="0.25">
      <c r="A299" s="10" t="s">
        <v>383</v>
      </c>
      <c r="B299" s="11">
        <v>9488.9887299999991</v>
      </c>
      <c r="C299" s="11">
        <v>9521.0537399999994</v>
      </c>
      <c r="D299" s="11" t="str">
        <f t="shared" si="15"/>
        <v>I</v>
      </c>
      <c r="E299" s="14">
        <f t="shared" si="16"/>
        <v>1.9622066000000001E-2</v>
      </c>
      <c r="F299" s="13">
        <v>1.9622066</v>
      </c>
      <c r="G299" s="13">
        <v>9511.4697300000007</v>
      </c>
      <c r="H299" s="10" t="str">
        <f t="shared" si="17"/>
        <v>Ovalidad  maxima del 1.96%</v>
      </c>
    </row>
    <row r="300" spans="1:8" x14ac:dyDescent="0.25">
      <c r="A300" s="10" t="s">
        <v>384</v>
      </c>
      <c r="B300" s="11">
        <v>9522.2683300000008</v>
      </c>
      <c r="C300" s="11">
        <v>9552.3900099999992</v>
      </c>
      <c r="D300" s="11" t="str">
        <f t="shared" si="15"/>
        <v>I</v>
      </c>
      <c r="E300" s="14">
        <f t="shared" si="16"/>
        <v>6.9393503700000006E-3</v>
      </c>
      <c r="F300" s="13">
        <v>0.69393503700000003</v>
      </c>
      <c r="G300" s="13">
        <v>9544.4101599999995</v>
      </c>
      <c r="H300" s="10" t="str">
        <f t="shared" si="17"/>
        <v>Ovalidad  maxima del 0.69%</v>
      </c>
    </row>
    <row r="301" spans="1:8" x14ac:dyDescent="0.25">
      <c r="A301" s="10" t="s">
        <v>385</v>
      </c>
      <c r="B301" s="11">
        <v>9553.1187599999994</v>
      </c>
      <c r="C301" s="11">
        <v>9584.2121100000004</v>
      </c>
      <c r="D301" s="11" t="str">
        <f t="shared" si="15"/>
        <v>I</v>
      </c>
      <c r="E301" s="14">
        <f t="shared" si="16"/>
        <v>7.9515850499999995E-3</v>
      </c>
      <c r="F301" s="13">
        <v>0.79515850499999996</v>
      </c>
      <c r="G301" s="13">
        <v>9580.8095699999994</v>
      </c>
      <c r="H301" s="10" t="str">
        <f t="shared" si="17"/>
        <v>Ovalidad  maxima del 0.80%</v>
      </c>
    </row>
    <row r="302" spans="1:8" x14ac:dyDescent="0.25">
      <c r="A302" s="10" t="s">
        <v>386</v>
      </c>
      <c r="B302" s="11">
        <v>9585.1230500000001</v>
      </c>
      <c r="C302" s="11">
        <v>9615.6091099999994</v>
      </c>
      <c r="D302" s="11" t="str">
        <f t="shared" si="15"/>
        <v>I</v>
      </c>
      <c r="E302" s="14">
        <f t="shared" si="16"/>
        <v>7.9423707700000002E-3</v>
      </c>
      <c r="F302" s="13">
        <v>0.79423707700000001</v>
      </c>
      <c r="G302" s="13">
        <v>9591.7099600000001</v>
      </c>
      <c r="H302" s="10" t="str">
        <f t="shared" si="17"/>
        <v>Ovalidad  maxima del 0.79%</v>
      </c>
    </row>
    <row r="303" spans="1:8" x14ac:dyDescent="0.25">
      <c r="A303" s="10" t="s">
        <v>387</v>
      </c>
      <c r="B303" s="11">
        <v>9616.5200399999994</v>
      </c>
      <c r="C303" s="11">
        <v>9646.8846400000002</v>
      </c>
      <c r="D303" s="11" t="str">
        <f t="shared" si="15"/>
        <v>I</v>
      </c>
      <c r="E303" s="14">
        <f t="shared" si="16"/>
        <v>7.9495865100000004E-3</v>
      </c>
      <c r="F303" s="13">
        <v>0.79495865099999996</v>
      </c>
      <c r="G303" s="13">
        <v>9646.6699200000003</v>
      </c>
      <c r="H303" s="10" t="str">
        <f t="shared" si="17"/>
        <v>Ovalidad  maxima del 0.79%</v>
      </c>
    </row>
    <row r="304" spans="1:8" x14ac:dyDescent="0.25">
      <c r="A304" s="10" t="s">
        <v>402</v>
      </c>
      <c r="B304" s="11">
        <v>9648.7065199999997</v>
      </c>
      <c r="C304" s="11">
        <v>9678.4638300000006</v>
      </c>
      <c r="D304" s="11" t="str">
        <f t="shared" si="15"/>
        <v>I</v>
      </c>
      <c r="E304" s="14">
        <f t="shared" si="16"/>
        <v>1.06587517E-2</v>
      </c>
      <c r="F304" s="13">
        <v>1.06587517</v>
      </c>
      <c r="G304" s="13">
        <v>9662.5595699999994</v>
      </c>
      <c r="H304" s="10" t="str">
        <f t="shared" si="17"/>
        <v>Ovalidad  maxima del 1.07%</v>
      </c>
    </row>
    <row r="305" spans="1:8" x14ac:dyDescent="0.25">
      <c r="A305" s="10" t="s">
        <v>403</v>
      </c>
      <c r="B305" s="11">
        <v>9680.1035200000006</v>
      </c>
      <c r="C305" s="11">
        <v>9711.5005099999998</v>
      </c>
      <c r="D305" s="11" t="str">
        <f t="shared" si="15"/>
        <v>I</v>
      </c>
      <c r="E305" s="14">
        <f t="shared" si="16"/>
        <v>8.8973176500000001E-3</v>
      </c>
      <c r="F305" s="13">
        <v>0.88973176499999995</v>
      </c>
      <c r="G305" s="13">
        <v>9711.2597700000006</v>
      </c>
      <c r="H305" s="10" t="str">
        <f t="shared" si="17"/>
        <v>Ovalidad  maxima del 0.89%</v>
      </c>
    </row>
    <row r="306" spans="1:8" x14ac:dyDescent="0.25">
      <c r="A306" s="10" t="s">
        <v>404</v>
      </c>
      <c r="B306" s="11">
        <v>9713.1401999999998</v>
      </c>
      <c r="C306" s="11">
        <v>9743.36816</v>
      </c>
      <c r="D306" s="11" t="str">
        <f t="shared" si="15"/>
        <v>I</v>
      </c>
      <c r="E306" s="14">
        <f t="shared" si="16"/>
        <v>1.0688421699999999E-2</v>
      </c>
      <c r="F306" s="13">
        <v>1.0688421699999999</v>
      </c>
      <c r="G306" s="13">
        <v>9743.1904300000006</v>
      </c>
      <c r="H306" s="10" t="str">
        <f t="shared" si="17"/>
        <v>Ovalidad  maxima del 1.07%</v>
      </c>
    </row>
    <row r="307" spans="1:8" x14ac:dyDescent="0.25">
      <c r="A307" s="10" t="s">
        <v>405</v>
      </c>
      <c r="B307" s="11">
        <v>9745.1891699999996</v>
      </c>
      <c r="C307" s="11">
        <v>9759.0895</v>
      </c>
      <c r="D307" s="11" t="str">
        <f t="shared" si="15"/>
        <v>I</v>
      </c>
      <c r="E307" s="14">
        <f t="shared" si="16"/>
        <v>6.2023860200000006E-3</v>
      </c>
      <c r="F307" s="13">
        <v>0.62023860200000003</v>
      </c>
      <c r="G307" s="13">
        <v>9745.5195299999996</v>
      </c>
      <c r="H307" s="10" t="str">
        <f t="shared" si="17"/>
        <v>Ovalidad  maxima del 0.62%</v>
      </c>
    </row>
  </sheetData>
  <conditionalFormatting sqref="D2:D307">
    <cfRule type="cellIs" dxfId="5" priority="16" operator="equal">
      <formula>"I"</formula>
    </cfRule>
    <cfRule type="cellIs" dxfId="4" priority="17" operator="equal">
      <formula>"II"</formula>
    </cfRule>
    <cfRule type="cellIs" dxfId="3" priority="18" operator="equal">
      <formula>"III"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3"/>
  <sheetViews>
    <sheetView topLeftCell="A280" workbookViewId="0">
      <selection activeCell="D2" sqref="D2"/>
    </sheetView>
  </sheetViews>
  <sheetFormatPr baseColWidth="10" defaultColWidth="11.25" defaultRowHeight="15.75" x14ac:dyDescent="0.25"/>
  <cols>
    <col min="1" max="1" width="5.375" style="10" customWidth="1"/>
    <col min="2" max="2" width="10.75" style="13" customWidth="1"/>
    <col min="3" max="3" width="10.125" style="13" customWidth="1"/>
    <col min="4" max="4" width="9.375" style="13" customWidth="1"/>
    <col min="5" max="5" width="8.625" style="15" customWidth="1"/>
    <col min="6" max="6" width="8.375" style="15" customWidth="1"/>
    <col min="7" max="7" width="7.75" style="15" customWidth="1"/>
    <col min="8" max="8" width="7" style="10" customWidth="1"/>
    <col min="9" max="9" width="8.5" style="10" customWidth="1"/>
    <col min="10" max="10" width="28.125" style="10" customWidth="1"/>
  </cols>
  <sheetData>
    <row r="1" spans="1:10" ht="52.5" customHeight="1" x14ac:dyDescent="0.25">
      <c r="A1" s="8" t="s">
        <v>64</v>
      </c>
      <c r="B1" s="9" t="s">
        <v>65</v>
      </c>
      <c r="C1" s="9" t="s">
        <v>66</v>
      </c>
      <c r="D1" s="9" t="s">
        <v>7</v>
      </c>
      <c r="E1" s="8" t="s">
        <v>9</v>
      </c>
      <c r="F1" s="8" t="s">
        <v>8</v>
      </c>
      <c r="G1" s="8" t="s">
        <v>176</v>
      </c>
      <c r="H1" s="8" t="s">
        <v>67</v>
      </c>
      <c r="I1" s="8" t="s">
        <v>187</v>
      </c>
      <c r="J1" s="8" t="s">
        <v>68</v>
      </c>
    </row>
    <row r="2" spans="1:10" x14ac:dyDescent="0.25">
      <c r="A2" s="10" t="s">
        <v>69</v>
      </c>
      <c r="B2" s="13">
        <v>8</v>
      </c>
      <c r="C2" s="13">
        <v>23.9</v>
      </c>
      <c r="D2" s="13" t="str">
        <f>IF((F2)&lt;2%,"I",IF((F2)&lt;5%,"II","III"))</f>
        <v>III</v>
      </c>
      <c r="E2" s="14">
        <v>2.2588750000000001E-2</v>
      </c>
      <c r="F2" s="14">
        <v>8.5000000000000006E-2</v>
      </c>
      <c r="G2" s="18">
        <f>E2</f>
        <v>2.2588750000000001E-2</v>
      </c>
      <c r="H2" s="11">
        <f>F2*100</f>
        <v>8.5</v>
      </c>
      <c r="I2" s="11">
        <v>19.2</v>
      </c>
      <c r="J2" s="10" t="str">
        <f>"Excentricidad  maxima del "&amp;TEXT(F2,"0.00%")</f>
        <v>Excentricidad  maxima del 8.50%</v>
      </c>
    </row>
    <row r="3" spans="1:10" x14ac:dyDescent="0.25">
      <c r="A3" s="10" t="s">
        <v>70</v>
      </c>
      <c r="B3" s="13">
        <v>26.1</v>
      </c>
      <c r="C3" s="13">
        <v>66.099999999999994</v>
      </c>
      <c r="D3" s="13" t="str">
        <f t="shared" ref="D3:D66" si="0">IF((F3)&lt;2%,"I",IF((F3)&lt;5%,"II","III"))</f>
        <v>I</v>
      </c>
      <c r="E3" s="14">
        <v>7.0578553615960101E-3</v>
      </c>
      <c r="F3" s="14">
        <v>1.1299999999999999E-2</v>
      </c>
      <c r="G3" s="18">
        <f t="shared" ref="G3:G66" si="1">E3</f>
        <v>7.0578553615960101E-3</v>
      </c>
      <c r="H3" s="11">
        <f t="shared" ref="H3:H66" si="2">F3*100</f>
        <v>1.1299999999999999</v>
      </c>
      <c r="I3" s="11">
        <v>28.1</v>
      </c>
      <c r="J3" s="10" t="str">
        <f t="shared" ref="J3:J66" si="3">"Excentricidad  maxima del "&amp;TEXT(F3,"0.00%")</f>
        <v>Excentricidad  maxima del 1.13%</v>
      </c>
    </row>
    <row r="4" spans="1:10" x14ac:dyDescent="0.25">
      <c r="A4" s="10" t="s">
        <v>71</v>
      </c>
      <c r="B4" s="13">
        <v>68.3</v>
      </c>
      <c r="C4" s="13">
        <v>107.2</v>
      </c>
      <c r="D4" s="13" t="str">
        <f t="shared" si="0"/>
        <v>I</v>
      </c>
      <c r="E4" s="14">
        <v>9.4953846153846208E-3</v>
      </c>
      <c r="F4" s="14">
        <v>1.46E-2</v>
      </c>
      <c r="G4" s="18">
        <f t="shared" si="1"/>
        <v>9.4953846153846208E-3</v>
      </c>
      <c r="H4" s="11">
        <f t="shared" si="2"/>
        <v>1.46</v>
      </c>
      <c r="I4" s="11">
        <v>84.2</v>
      </c>
      <c r="J4" s="10" t="str">
        <f t="shared" si="3"/>
        <v>Excentricidad  maxima del 1.46%</v>
      </c>
    </row>
    <row r="5" spans="1:10" x14ac:dyDescent="0.25">
      <c r="A5" s="10" t="s">
        <v>72</v>
      </c>
      <c r="B5" s="13">
        <v>109.4</v>
      </c>
      <c r="C5" s="13">
        <v>149.1</v>
      </c>
      <c r="D5" s="13" t="str">
        <f t="shared" si="0"/>
        <v>I</v>
      </c>
      <c r="E5" s="14">
        <v>8.8248743718592898E-3</v>
      </c>
      <c r="F5" s="14">
        <v>1.5100000000000001E-2</v>
      </c>
      <c r="G5" s="18">
        <f t="shared" si="1"/>
        <v>8.8248743718592898E-3</v>
      </c>
      <c r="H5" s="11">
        <f t="shared" si="2"/>
        <v>1.51</v>
      </c>
      <c r="I5" s="11">
        <v>142.4</v>
      </c>
      <c r="J5" s="10" t="str">
        <f t="shared" si="3"/>
        <v>Excentricidad  maxima del 1.51%</v>
      </c>
    </row>
    <row r="6" spans="1:10" x14ac:dyDescent="0.25">
      <c r="A6" s="10" t="s">
        <v>73</v>
      </c>
      <c r="B6" s="13">
        <v>151.30000000000001</v>
      </c>
      <c r="C6" s="13">
        <v>191.5</v>
      </c>
      <c r="D6" s="13" t="str">
        <f t="shared" si="0"/>
        <v>I</v>
      </c>
      <c r="E6" s="14">
        <v>7.8598014888337595E-3</v>
      </c>
      <c r="F6" s="14">
        <v>1.29E-2</v>
      </c>
      <c r="G6" s="18">
        <f t="shared" si="1"/>
        <v>7.8598014888337595E-3</v>
      </c>
      <c r="H6" s="11">
        <f t="shared" si="2"/>
        <v>1.29</v>
      </c>
      <c r="I6" s="11">
        <v>179.2</v>
      </c>
      <c r="J6" s="10" t="str">
        <f t="shared" si="3"/>
        <v>Excentricidad  maxima del 1.29%</v>
      </c>
    </row>
    <row r="7" spans="1:10" x14ac:dyDescent="0.25">
      <c r="A7" s="10" t="s">
        <v>74</v>
      </c>
      <c r="B7" s="13">
        <v>193.7</v>
      </c>
      <c r="C7" s="13">
        <v>234.4</v>
      </c>
      <c r="D7" s="13" t="str">
        <f t="shared" si="0"/>
        <v>I</v>
      </c>
      <c r="E7" s="14">
        <v>9.3735294117647007E-3</v>
      </c>
      <c r="F7" s="14">
        <v>1.4200000000000001E-2</v>
      </c>
      <c r="G7" s="18">
        <f t="shared" si="1"/>
        <v>9.3735294117647007E-3</v>
      </c>
      <c r="H7" s="11">
        <f t="shared" si="2"/>
        <v>1.4200000000000002</v>
      </c>
      <c r="I7" s="11">
        <v>212</v>
      </c>
      <c r="J7" s="10" t="str">
        <f t="shared" si="3"/>
        <v>Excentricidad  maxima del 1.42%</v>
      </c>
    </row>
    <row r="8" spans="1:10" x14ac:dyDescent="0.25">
      <c r="A8" s="10" t="s">
        <v>75</v>
      </c>
      <c r="B8" s="13">
        <v>236.6</v>
      </c>
      <c r="C8" s="13">
        <v>276.39999999999998</v>
      </c>
      <c r="D8" s="13" t="str">
        <f t="shared" si="0"/>
        <v>I</v>
      </c>
      <c r="E8" s="14">
        <v>7.03483709273182E-3</v>
      </c>
      <c r="F8" s="14">
        <v>1.09E-2</v>
      </c>
      <c r="G8" s="18">
        <f t="shared" si="1"/>
        <v>7.03483709273182E-3</v>
      </c>
      <c r="H8" s="11">
        <f t="shared" si="2"/>
        <v>1.0900000000000001</v>
      </c>
      <c r="I8" s="11">
        <v>261.2</v>
      </c>
      <c r="J8" s="10" t="str">
        <f t="shared" si="3"/>
        <v>Excentricidad  maxima del 1.09%</v>
      </c>
    </row>
    <row r="9" spans="1:10" x14ac:dyDescent="0.25">
      <c r="A9" s="10" t="s">
        <v>76</v>
      </c>
      <c r="B9" s="13">
        <v>278.60000000000002</v>
      </c>
      <c r="C9" s="13">
        <v>318.3</v>
      </c>
      <c r="D9" s="13" t="str">
        <f t="shared" si="0"/>
        <v>I</v>
      </c>
      <c r="E9" s="14">
        <v>8.5163316582914598E-3</v>
      </c>
      <c r="F9" s="14">
        <v>1.2699999999999999E-2</v>
      </c>
      <c r="G9" s="18">
        <f t="shared" si="1"/>
        <v>8.5163316582914598E-3</v>
      </c>
      <c r="H9" s="11">
        <f t="shared" si="2"/>
        <v>1.27</v>
      </c>
      <c r="I9" s="11">
        <v>284.10000000000002</v>
      </c>
      <c r="J9" s="10" t="str">
        <f t="shared" si="3"/>
        <v>Excentricidad  maxima del 1.27%</v>
      </c>
    </row>
    <row r="10" spans="1:10" x14ac:dyDescent="0.25">
      <c r="A10" s="10" t="s">
        <v>77</v>
      </c>
      <c r="B10" s="13">
        <v>320.5</v>
      </c>
      <c r="C10" s="13">
        <v>360.8</v>
      </c>
      <c r="D10" s="13" t="str">
        <f t="shared" si="0"/>
        <v>I</v>
      </c>
      <c r="E10" s="14">
        <v>7.7846534653465303E-3</v>
      </c>
      <c r="F10" s="14">
        <v>1.37E-2</v>
      </c>
      <c r="G10" s="18">
        <f t="shared" si="1"/>
        <v>7.7846534653465303E-3</v>
      </c>
      <c r="H10" s="11">
        <f t="shared" si="2"/>
        <v>1.37</v>
      </c>
      <c r="I10" s="11">
        <v>322.10000000000002</v>
      </c>
      <c r="J10" s="10" t="str">
        <f t="shared" si="3"/>
        <v>Excentricidad  maxima del 1.37%</v>
      </c>
    </row>
    <row r="11" spans="1:10" x14ac:dyDescent="0.25">
      <c r="A11" s="10" t="s">
        <v>78</v>
      </c>
      <c r="B11" s="13">
        <v>363</v>
      </c>
      <c r="C11" s="13">
        <v>399.2</v>
      </c>
      <c r="D11" s="13" t="str">
        <f t="shared" si="0"/>
        <v>I</v>
      </c>
      <c r="E11" s="14">
        <v>7.8267217630854004E-3</v>
      </c>
      <c r="F11" s="14">
        <v>1.17E-2</v>
      </c>
      <c r="G11" s="18">
        <f t="shared" si="1"/>
        <v>7.8267217630854004E-3</v>
      </c>
      <c r="H11" s="11">
        <f t="shared" si="2"/>
        <v>1.17</v>
      </c>
      <c r="I11" s="11">
        <v>382.7</v>
      </c>
      <c r="J11" s="10" t="str">
        <f t="shared" si="3"/>
        <v>Excentricidad  maxima del 1.17%</v>
      </c>
    </row>
    <row r="12" spans="1:10" x14ac:dyDescent="0.25">
      <c r="A12" s="10" t="s">
        <v>79</v>
      </c>
      <c r="B12" s="13">
        <v>401.4</v>
      </c>
      <c r="C12" s="13">
        <v>437.7</v>
      </c>
      <c r="D12" s="13" t="str">
        <f t="shared" si="0"/>
        <v>I</v>
      </c>
      <c r="E12" s="14">
        <v>6.4945054945054898E-3</v>
      </c>
      <c r="F12" s="14">
        <v>1.0500000000000001E-2</v>
      </c>
      <c r="G12" s="18">
        <f t="shared" si="1"/>
        <v>6.4945054945054898E-3</v>
      </c>
      <c r="H12" s="11">
        <f t="shared" si="2"/>
        <v>1.05</v>
      </c>
      <c r="I12" s="11">
        <v>432</v>
      </c>
      <c r="J12" s="10" t="str">
        <f t="shared" si="3"/>
        <v>Excentricidad  maxima del 1.05%</v>
      </c>
    </row>
    <row r="13" spans="1:10" x14ac:dyDescent="0.25">
      <c r="A13" s="10" t="s">
        <v>80</v>
      </c>
      <c r="B13" s="13">
        <v>439.9</v>
      </c>
      <c r="C13" s="13">
        <v>474.9</v>
      </c>
      <c r="D13" s="13" t="str">
        <f t="shared" si="0"/>
        <v>I</v>
      </c>
      <c r="E13" s="14">
        <v>7.6034188034188E-3</v>
      </c>
      <c r="F13" s="14">
        <v>1.0500000000000001E-2</v>
      </c>
      <c r="G13" s="18">
        <f t="shared" si="1"/>
        <v>7.6034188034188E-3</v>
      </c>
      <c r="H13" s="11">
        <f t="shared" si="2"/>
        <v>1.05</v>
      </c>
      <c r="I13" s="11">
        <v>446</v>
      </c>
      <c r="J13" s="10" t="str">
        <f t="shared" si="3"/>
        <v>Excentricidad  maxima del 1.05%</v>
      </c>
    </row>
    <row r="14" spans="1:10" x14ac:dyDescent="0.25">
      <c r="A14" s="10" t="s">
        <v>81</v>
      </c>
      <c r="B14" s="13">
        <v>477.1</v>
      </c>
      <c r="C14" s="13">
        <v>513.1</v>
      </c>
      <c r="D14" s="13" t="str">
        <f t="shared" si="0"/>
        <v>I</v>
      </c>
      <c r="E14" s="14">
        <v>7.6288088642659201E-3</v>
      </c>
      <c r="F14" s="14">
        <v>1.1599999999999999E-2</v>
      </c>
      <c r="G14" s="18">
        <f t="shared" si="1"/>
        <v>7.6288088642659201E-3</v>
      </c>
      <c r="H14" s="11">
        <f t="shared" si="2"/>
        <v>1.1599999999999999</v>
      </c>
      <c r="I14" s="11">
        <v>487.6</v>
      </c>
      <c r="J14" s="10" t="str">
        <f t="shared" si="3"/>
        <v>Excentricidad  maxima del 1.16%</v>
      </c>
    </row>
    <row r="15" spans="1:10" x14ac:dyDescent="0.25">
      <c r="A15" s="10" t="s">
        <v>82</v>
      </c>
      <c r="B15" s="13">
        <v>515.29999999999995</v>
      </c>
      <c r="C15" s="13">
        <v>550.6</v>
      </c>
      <c r="D15" s="13" t="str">
        <f t="shared" si="0"/>
        <v>I</v>
      </c>
      <c r="E15" s="14">
        <v>6.95225988700565E-3</v>
      </c>
      <c r="F15" s="14">
        <v>1.0699999999999999E-2</v>
      </c>
      <c r="G15" s="18">
        <f t="shared" si="1"/>
        <v>6.95225988700565E-3</v>
      </c>
      <c r="H15" s="11">
        <f t="shared" si="2"/>
        <v>1.0699999999999998</v>
      </c>
      <c r="I15" s="11">
        <v>531.4</v>
      </c>
      <c r="J15" s="10" t="str">
        <f t="shared" si="3"/>
        <v>Excentricidad  maxima del 1.07%</v>
      </c>
    </row>
    <row r="16" spans="1:10" x14ac:dyDescent="0.25">
      <c r="A16" s="10" t="s">
        <v>83</v>
      </c>
      <c r="B16" s="13">
        <v>552.79999999999995</v>
      </c>
      <c r="C16" s="13">
        <v>589.6</v>
      </c>
      <c r="D16" s="13" t="str">
        <f t="shared" si="0"/>
        <v>I</v>
      </c>
      <c r="E16" s="14">
        <v>6.4737127371273604E-3</v>
      </c>
      <c r="F16" s="14">
        <v>1.0800000000000001E-2</v>
      </c>
      <c r="G16" s="18">
        <f t="shared" si="1"/>
        <v>6.4737127371273604E-3</v>
      </c>
      <c r="H16" s="11">
        <f t="shared" si="2"/>
        <v>1.08</v>
      </c>
      <c r="I16" s="11">
        <v>563.9</v>
      </c>
      <c r="J16" s="10" t="str">
        <f t="shared" si="3"/>
        <v>Excentricidad  maxima del 1.08%</v>
      </c>
    </row>
    <row r="17" spans="1:10" x14ac:dyDescent="0.25">
      <c r="A17" s="10" t="s">
        <v>84</v>
      </c>
      <c r="B17" s="13">
        <v>591.79999999999995</v>
      </c>
      <c r="C17" s="13">
        <v>627.4</v>
      </c>
      <c r="D17" s="13" t="str">
        <f t="shared" si="0"/>
        <v>I</v>
      </c>
      <c r="E17" s="14">
        <v>7.0879551820728299E-3</v>
      </c>
      <c r="F17" s="14">
        <v>1.14E-2</v>
      </c>
      <c r="G17" s="18">
        <f t="shared" si="1"/>
        <v>7.0879551820728299E-3</v>
      </c>
      <c r="H17" s="11">
        <f t="shared" si="2"/>
        <v>1.1400000000000001</v>
      </c>
      <c r="I17" s="11">
        <v>607.1</v>
      </c>
      <c r="J17" s="10" t="str">
        <f t="shared" si="3"/>
        <v>Excentricidad  maxima del 1.14%</v>
      </c>
    </row>
    <row r="18" spans="1:10" x14ac:dyDescent="0.25">
      <c r="A18" s="10" t="s">
        <v>85</v>
      </c>
      <c r="B18" s="13">
        <v>629.6</v>
      </c>
      <c r="C18" s="13">
        <v>665.5</v>
      </c>
      <c r="D18" s="13" t="str">
        <f t="shared" si="0"/>
        <v>I</v>
      </c>
      <c r="E18" s="14">
        <v>6.9094444444444403E-3</v>
      </c>
      <c r="F18" s="14">
        <v>1.03E-2</v>
      </c>
      <c r="G18" s="18">
        <f t="shared" si="1"/>
        <v>6.9094444444444403E-3</v>
      </c>
      <c r="H18" s="11">
        <f t="shared" si="2"/>
        <v>1.03</v>
      </c>
      <c r="I18" s="11">
        <v>662.8</v>
      </c>
      <c r="J18" s="10" t="str">
        <f t="shared" si="3"/>
        <v>Excentricidad  maxima del 1.03%</v>
      </c>
    </row>
    <row r="19" spans="1:10" x14ac:dyDescent="0.25">
      <c r="A19" s="10" t="s">
        <v>86</v>
      </c>
      <c r="B19" s="13">
        <v>667.7</v>
      </c>
      <c r="C19" s="13">
        <v>704.6</v>
      </c>
      <c r="D19" s="13" t="str">
        <f t="shared" si="0"/>
        <v>I</v>
      </c>
      <c r="E19" s="14">
        <v>6.6448648648648597E-3</v>
      </c>
      <c r="F19" s="14">
        <v>1.0200000000000001E-2</v>
      </c>
      <c r="G19" s="18">
        <f t="shared" si="1"/>
        <v>6.6448648648648597E-3</v>
      </c>
      <c r="H19" s="11">
        <f t="shared" si="2"/>
        <v>1.02</v>
      </c>
      <c r="I19" s="11">
        <v>693.9</v>
      </c>
      <c r="J19" s="10" t="str">
        <f t="shared" si="3"/>
        <v>Excentricidad  maxima del 1.02%</v>
      </c>
    </row>
    <row r="20" spans="1:10" x14ac:dyDescent="0.25">
      <c r="A20" s="10" t="s">
        <v>87</v>
      </c>
      <c r="B20" s="13">
        <v>706.8</v>
      </c>
      <c r="C20" s="13">
        <v>738.3</v>
      </c>
      <c r="D20" s="13" t="str">
        <f t="shared" si="0"/>
        <v>I</v>
      </c>
      <c r="E20" s="14">
        <v>6.5639240506329003E-3</v>
      </c>
      <c r="F20" s="14">
        <v>1.09E-2</v>
      </c>
      <c r="G20" s="18">
        <f t="shared" si="1"/>
        <v>6.5639240506329003E-3</v>
      </c>
      <c r="H20" s="11">
        <f t="shared" si="2"/>
        <v>1.0900000000000001</v>
      </c>
      <c r="I20" s="11">
        <v>735.8</v>
      </c>
      <c r="J20" s="10" t="str">
        <f t="shared" si="3"/>
        <v>Excentricidad  maxima del 1.09%</v>
      </c>
    </row>
    <row r="21" spans="1:10" x14ac:dyDescent="0.25">
      <c r="A21" s="10" t="s">
        <v>88</v>
      </c>
      <c r="B21" s="13">
        <v>740.5</v>
      </c>
      <c r="C21" s="13">
        <v>776.7</v>
      </c>
      <c r="D21" s="13" t="str">
        <f t="shared" si="0"/>
        <v>I</v>
      </c>
      <c r="E21" s="14">
        <v>7.2038567493112899E-3</v>
      </c>
      <c r="F21" s="14">
        <v>1.2500000000000001E-2</v>
      </c>
      <c r="G21" s="18">
        <f t="shared" si="1"/>
        <v>7.2038567493112899E-3</v>
      </c>
      <c r="H21" s="11">
        <f t="shared" si="2"/>
        <v>1.25</v>
      </c>
      <c r="I21" s="11">
        <v>776.1</v>
      </c>
      <c r="J21" s="10" t="str">
        <f t="shared" si="3"/>
        <v>Excentricidad  maxima del 1.25%</v>
      </c>
    </row>
    <row r="22" spans="1:10" x14ac:dyDescent="0.25">
      <c r="A22" s="10" t="s">
        <v>89</v>
      </c>
      <c r="B22" s="13">
        <v>778.9</v>
      </c>
      <c r="C22" s="13">
        <v>815.2</v>
      </c>
      <c r="D22" s="13" t="str">
        <f t="shared" si="0"/>
        <v>I</v>
      </c>
      <c r="E22" s="14">
        <v>6.7659340659340598E-3</v>
      </c>
      <c r="F22" s="14">
        <v>1.0800000000000001E-2</v>
      </c>
      <c r="G22" s="18">
        <f t="shared" si="1"/>
        <v>6.7659340659340598E-3</v>
      </c>
      <c r="H22" s="11">
        <f t="shared" si="2"/>
        <v>1.08</v>
      </c>
      <c r="I22" s="11">
        <v>784.6</v>
      </c>
      <c r="J22" s="10" t="str">
        <f t="shared" si="3"/>
        <v>Excentricidad  maxima del 1.08%</v>
      </c>
    </row>
    <row r="23" spans="1:10" x14ac:dyDescent="0.25">
      <c r="A23" s="10" t="s">
        <v>90</v>
      </c>
      <c r="B23" s="13">
        <v>817.4</v>
      </c>
      <c r="C23" s="13">
        <v>852.7</v>
      </c>
      <c r="D23" s="13" t="str">
        <f t="shared" si="0"/>
        <v>I</v>
      </c>
      <c r="E23" s="14">
        <v>6.9661016949152501E-3</v>
      </c>
      <c r="F23" s="14">
        <v>1.1299999999999999E-2</v>
      </c>
      <c r="G23" s="18">
        <f t="shared" si="1"/>
        <v>6.9661016949152501E-3</v>
      </c>
      <c r="H23" s="11">
        <f t="shared" si="2"/>
        <v>1.1299999999999999</v>
      </c>
      <c r="I23" s="11">
        <v>822.8</v>
      </c>
      <c r="J23" s="10" t="str">
        <f t="shared" si="3"/>
        <v>Excentricidad  maxima del 1.13%</v>
      </c>
    </row>
    <row r="24" spans="1:10" x14ac:dyDescent="0.25">
      <c r="A24" s="10" t="s">
        <v>91</v>
      </c>
      <c r="B24" s="13">
        <v>854.9</v>
      </c>
      <c r="C24" s="13">
        <v>891</v>
      </c>
      <c r="D24" s="13" t="str">
        <f t="shared" si="0"/>
        <v>I</v>
      </c>
      <c r="E24" s="14">
        <v>6.7138121546961201E-3</v>
      </c>
      <c r="F24" s="14">
        <v>1.1299999999999999E-2</v>
      </c>
      <c r="G24" s="18">
        <f t="shared" si="1"/>
        <v>6.7138121546961201E-3</v>
      </c>
      <c r="H24" s="11">
        <f t="shared" si="2"/>
        <v>1.1299999999999999</v>
      </c>
      <c r="I24" s="11">
        <v>856</v>
      </c>
      <c r="J24" s="10" t="str">
        <f t="shared" si="3"/>
        <v>Excentricidad  maxima del 1.13%</v>
      </c>
    </row>
    <row r="25" spans="1:10" x14ac:dyDescent="0.25">
      <c r="A25" s="10" t="s">
        <v>92</v>
      </c>
      <c r="B25" s="13">
        <v>893.2</v>
      </c>
      <c r="C25" s="13">
        <v>929.5</v>
      </c>
      <c r="D25" s="13" t="str">
        <f t="shared" si="0"/>
        <v>I</v>
      </c>
      <c r="E25" s="14">
        <v>7.4164835164835198E-3</v>
      </c>
      <c r="F25" s="14">
        <v>1.26E-2</v>
      </c>
      <c r="G25" s="18">
        <f t="shared" si="1"/>
        <v>7.4164835164835198E-3</v>
      </c>
      <c r="H25" s="11">
        <f t="shared" si="2"/>
        <v>1.26</v>
      </c>
      <c r="I25" s="11">
        <v>904.1</v>
      </c>
      <c r="J25" s="10" t="str">
        <f t="shared" si="3"/>
        <v>Excentricidad  maxima del 1.26%</v>
      </c>
    </row>
    <row r="26" spans="1:10" x14ac:dyDescent="0.25">
      <c r="A26" s="10" t="s">
        <v>93</v>
      </c>
      <c r="B26" s="13">
        <v>931.7</v>
      </c>
      <c r="C26" s="13">
        <v>967</v>
      </c>
      <c r="D26" s="13" t="str">
        <f t="shared" si="0"/>
        <v>I</v>
      </c>
      <c r="E26" s="14">
        <v>6.7070621468926497E-3</v>
      </c>
      <c r="F26" s="14">
        <v>1.09E-2</v>
      </c>
      <c r="G26" s="18">
        <f t="shared" si="1"/>
        <v>6.7070621468926497E-3</v>
      </c>
      <c r="H26" s="11">
        <f t="shared" si="2"/>
        <v>1.0900000000000001</v>
      </c>
      <c r="I26" s="11">
        <v>933.4</v>
      </c>
      <c r="J26" s="10" t="str">
        <f t="shared" si="3"/>
        <v>Excentricidad  maxima del 1.09%</v>
      </c>
    </row>
    <row r="27" spans="1:10" x14ac:dyDescent="0.25">
      <c r="A27" s="10" t="s">
        <v>94</v>
      </c>
      <c r="B27" s="13">
        <v>969.2</v>
      </c>
      <c r="C27" s="13">
        <v>1009.8</v>
      </c>
      <c r="D27" s="13" t="str">
        <f t="shared" si="0"/>
        <v>I</v>
      </c>
      <c r="E27" s="14">
        <v>7.5466830466830396E-3</v>
      </c>
      <c r="F27" s="14">
        <v>1.5299999999999999E-2</v>
      </c>
      <c r="G27" s="18">
        <f t="shared" si="1"/>
        <v>7.5466830466830396E-3</v>
      </c>
      <c r="H27" s="11">
        <f t="shared" si="2"/>
        <v>1.53</v>
      </c>
      <c r="I27" s="11">
        <v>969.3</v>
      </c>
      <c r="J27" s="10" t="str">
        <f t="shared" si="3"/>
        <v>Excentricidad  maxima del 1.53%</v>
      </c>
    </row>
    <row r="28" spans="1:10" x14ac:dyDescent="0.25">
      <c r="A28" s="10" t="s">
        <v>95</v>
      </c>
      <c r="B28" s="13">
        <v>1012</v>
      </c>
      <c r="C28" s="13">
        <v>1052.5</v>
      </c>
      <c r="D28" s="13" t="str">
        <f t="shared" si="0"/>
        <v>I</v>
      </c>
      <c r="E28" s="14">
        <v>7.2859605911330004E-3</v>
      </c>
      <c r="F28" s="14">
        <v>1.12E-2</v>
      </c>
      <c r="G28" s="18">
        <f t="shared" si="1"/>
        <v>7.2859605911330004E-3</v>
      </c>
      <c r="H28" s="11">
        <f t="shared" si="2"/>
        <v>1.1199999999999999</v>
      </c>
      <c r="I28" s="11">
        <v>1035.2</v>
      </c>
      <c r="J28" s="10" t="str">
        <f t="shared" si="3"/>
        <v>Excentricidad  maxima del 1.12%</v>
      </c>
    </row>
    <row r="29" spans="1:10" x14ac:dyDescent="0.25">
      <c r="A29" s="10" t="s">
        <v>96</v>
      </c>
      <c r="B29" s="13">
        <v>1054.7</v>
      </c>
      <c r="C29" s="13">
        <v>1095.5999999999999</v>
      </c>
      <c r="D29" s="13" t="str">
        <f t="shared" si="0"/>
        <v>I</v>
      </c>
      <c r="E29" s="14">
        <v>6.9612195121951104E-3</v>
      </c>
      <c r="F29" s="14">
        <v>1.06E-2</v>
      </c>
      <c r="G29" s="18">
        <f t="shared" si="1"/>
        <v>6.9612195121951104E-3</v>
      </c>
      <c r="H29" s="11">
        <f t="shared" si="2"/>
        <v>1.06</v>
      </c>
      <c r="I29" s="11">
        <v>1089.5</v>
      </c>
      <c r="J29" s="10" t="str">
        <f t="shared" si="3"/>
        <v>Excentricidad  maxima del 1.06%</v>
      </c>
    </row>
    <row r="30" spans="1:10" x14ac:dyDescent="0.25">
      <c r="A30" s="10" t="s">
        <v>97</v>
      </c>
      <c r="B30" s="13">
        <v>1097.8</v>
      </c>
      <c r="C30" s="13">
        <v>1138.7</v>
      </c>
      <c r="D30" s="13" t="str">
        <f t="shared" si="0"/>
        <v>I</v>
      </c>
      <c r="E30" s="14">
        <v>7.9329268292682997E-3</v>
      </c>
      <c r="F30" s="14">
        <v>1.2999999999999999E-2</v>
      </c>
      <c r="G30" s="18">
        <f t="shared" si="1"/>
        <v>7.9329268292682997E-3</v>
      </c>
      <c r="H30" s="11">
        <f t="shared" si="2"/>
        <v>1.3</v>
      </c>
      <c r="I30" s="11">
        <v>1135.3</v>
      </c>
      <c r="J30" s="10" t="str">
        <f t="shared" si="3"/>
        <v>Excentricidad  maxima del 1.30%</v>
      </c>
    </row>
    <row r="31" spans="1:10" x14ac:dyDescent="0.25">
      <c r="A31" s="10" t="s">
        <v>98</v>
      </c>
      <c r="B31" s="13">
        <v>1140.9000000000001</v>
      </c>
      <c r="C31" s="13">
        <v>1181.3</v>
      </c>
      <c r="D31" s="13" t="str">
        <f t="shared" si="0"/>
        <v>I</v>
      </c>
      <c r="E31" s="14">
        <v>7.7249382716049302E-3</v>
      </c>
      <c r="F31" s="14">
        <v>1.23E-2</v>
      </c>
      <c r="G31" s="18">
        <f t="shared" si="1"/>
        <v>7.7249382716049302E-3</v>
      </c>
      <c r="H31" s="11">
        <f t="shared" si="2"/>
        <v>1.23</v>
      </c>
      <c r="I31" s="11">
        <v>1175.0999999999999</v>
      </c>
      <c r="J31" s="10" t="str">
        <f>"Excentricidad  maxima del "&amp;TEXT(F31,"0.00%")</f>
        <v>Excentricidad  maxima del 1.23%</v>
      </c>
    </row>
    <row r="32" spans="1:10" x14ac:dyDescent="0.25">
      <c r="A32" s="10" t="s">
        <v>99</v>
      </c>
      <c r="B32" s="13">
        <v>1183.5</v>
      </c>
      <c r="C32" s="13">
        <v>1223.7</v>
      </c>
      <c r="D32" s="13" t="str">
        <f t="shared" si="0"/>
        <v>I</v>
      </c>
      <c r="E32" s="14">
        <v>7.6141439205955203E-3</v>
      </c>
      <c r="F32" s="14">
        <v>1.3100000000000001E-2</v>
      </c>
      <c r="G32" s="18">
        <f t="shared" si="1"/>
        <v>7.6141439205955203E-3</v>
      </c>
      <c r="H32" s="11">
        <f t="shared" si="2"/>
        <v>1.31</v>
      </c>
      <c r="I32" s="11">
        <v>1214</v>
      </c>
      <c r="J32" s="10" t="str">
        <f t="shared" si="3"/>
        <v>Excentricidad  maxima del 1.31%</v>
      </c>
    </row>
    <row r="33" spans="1:10" x14ac:dyDescent="0.25">
      <c r="A33" s="10" t="s">
        <v>100</v>
      </c>
      <c r="B33" s="13">
        <v>1225.9000000000001</v>
      </c>
      <c r="C33" s="13">
        <v>1260.9000000000001</v>
      </c>
      <c r="D33" s="13" t="str">
        <f t="shared" si="0"/>
        <v>I</v>
      </c>
      <c r="E33" s="14">
        <v>7.59088319088319E-3</v>
      </c>
      <c r="F33" s="14">
        <v>1.1900000000000001E-2</v>
      </c>
      <c r="G33" s="18">
        <f t="shared" si="1"/>
        <v>7.59088319088319E-3</v>
      </c>
      <c r="H33" s="11">
        <f t="shared" si="2"/>
        <v>1.1900000000000002</v>
      </c>
      <c r="I33" s="11">
        <v>1244.3</v>
      </c>
      <c r="J33" s="10" t="str">
        <f t="shared" si="3"/>
        <v>Excentricidad  maxima del 1.19%</v>
      </c>
    </row>
    <row r="34" spans="1:10" x14ac:dyDescent="0.25">
      <c r="A34" s="10" t="s">
        <v>101</v>
      </c>
      <c r="B34" s="13">
        <v>1263.0999999999999</v>
      </c>
      <c r="C34" s="13">
        <v>1304.0999999999999</v>
      </c>
      <c r="D34" s="13" t="str">
        <f t="shared" si="0"/>
        <v>I</v>
      </c>
      <c r="E34" s="14">
        <v>7.3630170316301702E-3</v>
      </c>
      <c r="F34" s="14">
        <v>1.12E-2</v>
      </c>
      <c r="G34" s="18">
        <f t="shared" si="1"/>
        <v>7.3630170316301702E-3</v>
      </c>
      <c r="H34" s="11">
        <f t="shared" si="2"/>
        <v>1.1199999999999999</v>
      </c>
      <c r="I34" s="11">
        <v>1263.4000000000001</v>
      </c>
      <c r="J34" s="10" t="str">
        <f t="shared" si="3"/>
        <v>Excentricidad  maxima del 1.12%</v>
      </c>
    </row>
    <row r="35" spans="1:10" x14ac:dyDescent="0.25">
      <c r="A35" s="10" t="s">
        <v>102</v>
      </c>
      <c r="B35" s="13">
        <v>1306.3</v>
      </c>
      <c r="C35" s="13">
        <v>1345.2</v>
      </c>
      <c r="D35" s="13" t="str">
        <f t="shared" si="0"/>
        <v>I</v>
      </c>
      <c r="E35" s="14">
        <v>8.4594871794871802E-3</v>
      </c>
      <c r="F35" s="14">
        <v>1.3599999999999999E-2</v>
      </c>
      <c r="G35" s="18">
        <f t="shared" si="1"/>
        <v>8.4594871794871802E-3</v>
      </c>
      <c r="H35" s="11">
        <f t="shared" si="2"/>
        <v>1.3599999999999999</v>
      </c>
      <c r="I35" s="11">
        <v>1329.2</v>
      </c>
      <c r="J35" s="10" t="str">
        <f t="shared" si="3"/>
        <v>Excentricidad  maxima del 1.36%</v>
      </c>
    </row>
    <row r="36" spans="1:10" x14ac:dyDescent="0.25">
      <c r="A36" s="10" t="s">
        <v>103</v>
      </c>
      <c r="B36" s="13">
        <v>1347.4</v>
      </c>
      <c r="C36" s="13">
        <v>1387.9</v>
      </c>
      <c r="D36" s="13" t="str">
        <f t="shared" si="0"/>
        <v>I</v>
      </c>
      <c r="E36" s="14">
        <v>7.2854679802955699E-3</v>
      </c>
      <c r="F36" s="14">
        <v>1.2E-2</v>
      </c>
      <c r="G36" s="18">
        <f t="shared" si="1"/>
        <v>7.2854679802955699E-3</v>
      </c>
      <c r="H36" s="11">
        <f t="shared" si="2"/>
        <v>1.2</v>
      </c>
      <c r="I36" s="11">
        <v>1378.3</v>
      </c>
      <c r="J36" s="10" t="str">
        <f t="shared" si="3"/>
        <v>Excentricidad  maxima del 1.20%</v>
      </c>
    </row>
    <row r="37" spans="1:10" x14ac:dyDescent="0.25">
      <c r="A37" s="10" t="s">
        <v>104</v>
      </c>
      <c r="B37" s="13">
        <v>1390.1</v>
      </c>
      <c r="C37" s="13">
        <v>1431.2</v>
      </c>
      <c r="D37" s="13" t="str">
        <f t="shared" si="0"/>
        <v>I</v>
      </c>
      <c r="E37" s="14">
        <v>7.25873786407767E-3</v>
      </c>
      <c r="F37" s="14">
        <v>1.1599999999999999E-2</v>
      </c>
      <c r="G37" s="18">
        <f t="shared" si="1"/>
        <v>7.25873786407767E-3</v>
      </c>
      <c r="H37" s="11">
        <f t="shared" si="2"/>
        <v>1.1599999999999999</v>
      </c>
      <c r="I37" s="11">
        <v>1418.3</v>
      </c>
      <c r="J37" s="10" t="str">
        <f t="shared" si="3"/>
        <v>Excentricidad  maxima del 1.16%</v>
      </c>
    </row>
    <row r="38" spans="1:10" x14ac:dyDescent="0.25">
      <c r="A38" s="10" t="s">
        <v>105</v>
      </c>
      <c r="B38" s="13">
        <v>1433.4</v>
      </c>
      <c r="C38" s="13">
        <v>1474.3</v>
      </c>
      <c r="D38" s="13" t="str">
        <f t="shared" si="0"/>
        <v>I</v>
      </c>
      <c r="E38" s="14">
        <v>9.2868292682926797E-3</v>
      </c>
      <c r="F38" s="14">
        <v>1.44E-2</v>
      </c>
      <c r="G38" s="18">
        <f t="shared" si="1"/>
        <v>9.2868292682926797E-3</v>
      </c>
      <c r="H38" s="11">
        <f t="shared" si="2"/>
        <v>1.44</v>
      </c>
      <c r="I38" s="11">
        <v>1445.8</v>
      </c>
      <c r="J38" s="10" t="str">
        <f t="shared" si="3"/>
        <v>Excentricidad  maxima del 1.44%</v>
      </c>
    </row>
    <row r="39" spans="1:10" x14ac:dyDescent="0.25">
      <c r="A39" s="10" t="s">
        <v>106</v>
      </c>
      <c r="B39" s="13">
        <v>1476.5</v>
      </c>
      <c r="C39" s="13">
        <v>1516.7</v>
      </c>
      <c r="D39" s="13" t="str">
        <f t="shared" si="0"/>
        <v>I</v>
      </c>
      <c r="E39" s="14">
        <v>7.5382133995037098E-3</v>
      </c>
      <c r="F39" s="14">
        <v>1.15E-2</v>
      </c>
      <c r="G39" s="18">
        <f t="shared" si="1"/>
        <v>7.5382133995037098E-3</v>
      </c>
      <c r="H39" s="11">
        <f t="shared" si="2"/>
        <v>1.1499999999999999</v>
      </c>
      <c r="I39" s="11">
        <v>1490</v>
      </c>
      <c r="J39" s="10" t="str">
        <f t="shared" si="3"/>
        <v>Excentricidad  maxima del 1.15%</v>
      </c>
    </row>
    <row r="40" spans="1:10" x14ac:dyDescent="0.25">
      <c r="A40" s="10" t="s">
        <v>107</v>
      </c>
      <c r="B40" s="13">
        <v>1518.9</v>
      </c>
      <c r="C40" s="13">
        <v>1559.9</v>
      </c>
      <c r="D40" s="13" t="str">
        <f t="shared" si="0"/>
        <v>I</v>
      </c>
      <c r="E40" s="14">
        <v>8.9055961070559596E-3</v>
      </c>
      <c r="F40" s="14">
        <v>1.43E-2</v>
      </c>
      <c r="G40" s="18">
        <f t="shared" si="1"/>
        <v>8.9055961070559596E-3</v>
      </c>
      <c r="H40" s="11">
        <f t="shared" si="2"/>
        <v>1.43</v>
      </c>
      <c r="I40" s="11">
        <v>1552</v>
      </c>
      <c r="J40" s="10" t="str">
        <f t="shared" si="3"/>
        <v>Excentricidad  maxima del 1.43%</v>
      </c>
    </row>
    <row r="41" spans="1:10" x14ac:dyDescent="0.25">
      <c r="A41" s="10" t="s">
        <v>108</v>
      </c>
      <c r="B41" s="13">
        <v>1562.1</v>
      </c>
      <c r="C41" s="13">
        <v>1600.6</v>
      </c>
      <c r="D41" s="13" t="str">
        <f t="shared" si="0"/>
        <v>I</v>
      </c>
      <c r="E41" s="14">
        <v>7.6321243523316002E-3</v>
      </c>
      <c r="F41" s="14">
        <v>1.23E-2</v>
      </c>
      <c r="G41" s="18">
        <f t="shared" si="1"/>
        <v>7.6321243523316002E-3</v>
      </c>
      <c r="H41" s="11">
        <f t="shared" si="2"/>
        <v>1.23</v>
      </c>
      <c r="I41" s="11">
        <v>1589.4</v>
      </c>
      <c r="J41" s="10" t="str">
        <f t="shared" si="3"/>
        <v>Excentricidad  maxima del 1.23%</v>
      </c>
    </row>
    <row r="42" spans="1:10" x14ac:dyDescent="0.25">
      <c r="A42" s="10" t="s">
        <v>109</v>
      </c>
      <c r="B42" s="13">
        <v>1602.8</v>
      </c>
      <c r="C42" s="13">
        <v>1642.2</v>
      </c>
      <c r="D42" s="13" t="str">
        <f t="shared" si="0"/>
        <v>I</v>
      </c>
      <c r="E42" s="14">
        <v>8.7994936708860692E-3</v>
      </c>
      <c r="F42" s="14">
        <v>1.3299999999999999E-2</v>
      </c>
      <c r="G42" s="18">
        <f t="shared" si="1"/>
        <v>8.7994936708860692E-3</v>
      </c>
      <c r="H42" s="11">
        <f t="shared" si="2"/>
        <v>1.3299999999999998</v>
      </c>
      <c r="I42" s="11">
        <v>1611.1</v>
      </c>
      <c r="J42" s="10" t="str">
        <f t="shared" si="3"/>
        <v>Excentricidad  maxima del 1.33%</v>
      </c>
    </row>
    <row r="43" spans="1:10" x14ac:dyDescent="0.25">
      <c r="A43" s="10" t="s">
        <v>110</v>
      </c>
      <c r="B43" s="13">
        <v>1644.4</v>
      </c>
      <c r="C43" s="13">
        <v>1684.5</v>
      </c>
      <c r="D43" s="13" t="str">
        <f t="shared" si="0"/>
        <v>I</v>
      </c>
      <c r="E43" s="14">
        <v>8.1208955223880507E-3</v>
      </c>
      <c r="F43" s="14">
        <v>1.4E-2</v>
      </c>
      <c r="G43" s="18">
        <f t="shared" si="1"/>
        <v>8.1208955223880507E-3</v>
      </c>
      <c r="H43" s="11">
        <f t="shared" si="2"/>
        <v>1.4000000000000001</v>
      </c>
      <c r="I43" s="11">
        <v>1679.9</v>
      </c>
      <c r="J43" s="10" t="str">
        <f t="shared" si="3"/>
        <v>Excentricidad  maxima del 1.40%</v>
      </c>
    </row>
    <row r="44" spans="1:10" x14ac:dyDescent="0.25">
      <c r="A44" s="10" t="s">
        <v>111</v>
      </c>
      <c r="B44" s="13">
        <v>1686.7</v>
      </c>
      <c r="C44" s="13">
        <v>1727.7</v>
      </c>
      <c r="D44" s="13" t="str">
        <f t="shared" si="0"/>
        <v>I</v>
      </c>
      <c r="E44" s="14">
        <v>7.5717761557177604E-3</v>
      </c>
      <c r="F44" s="14">
        <v>1.2800000000000001E-2</v>
      </c>
      <c r="G44" s="18">
        <f t="shared" si="1"/>
        <v>7.5717761557177604E-3</v>
      </c>
      <c r="H44" s="11">
        <f t="shared" si="2"/>
        <v>1.28</v>
      </c>
      <c r="I44" s="11">
        <v>1725</v>
      </c>
      <c r="J44" s="10" t="str">
        <f t="shared" si="3"/>
        <v>Excentricidad  maxima del 1.28%</v>
      </c>
    </row>
    <row r="45" spans="1:10" x14ac:dyDescent="0.25">
      <c r="A45" s="10" t="s">
        <v>112</v>
      </c>
      <c r="B45" s="13">
        <v>1729.9</v>
      </c>
      <c r="C45" s="13">
        <v>1769.7</v>
      </c>
      <c r="D45" s="13" t="str">
        <f t="shared" si="0"/>
        <v>I</v>
      </c>
      <c r="E45" s="14">
        <v>8.0456140350877205E-3</v>
      </c>
      <c r="F45" s="14">
        <v>1.11E-2</v>
      </c>
      <c r="G45" s="18">
        <f t="shared" si="1"/>
        <v>8.0456140350877205E-3</v>
      </c>
      <c r="H45" s="11">
        <f t="shared" si="2"/>
        <v>1.1100000000000001</v>
      </c>
      <c r="I45" s="11">
        <v>1753.9</v>
      </c>
      <c r="J45" s="10" t="str">
        <f>"Excentricidad  maxima del "&amp;TEXT(F45,"0.00%")</f>
        <v>Excentricidad  maxima del 1.11%</v>
      </c>
    </row>
    <row r="46" spans="1:10" x14ac:dyDescent="0.25">
      <c r="A46" s="10" t="s">
        <v>113</v>
      </c>
      <c r="B46" s="13">
        <v>1771.9</v>
      </c>
      <c r="C46" s="13">
        <v>1812.4</v>
      </c>
      <c r="D46" s="13" t="str">
        <f t="shared" si="0"/>
        <v>I</v>
      </c>
      <c r="E46" s="14">
        <v>7.8482758620689597E-3</v>
      </c>
      <c r="F46" s="14">
        <v>1.4999999999999999E-2</v>
      </c>
      <c r="G46" s="18">
        <f t="shared" si="1"/>
        <v>7.8482758620689597E-3</v>
      </c>
      <c r="H46" s="11">
        <f t="shared" si="2"/>
        <v>1.5</v>
      </c>
      <c r="I46" s="11">
        <v>1772</v>
      </c>
      <c r="J46" s="10" t="str">
        <f t="shared" si="3"/>
        <v>Excentricidad  maxima del 1.50%</v>
      </c>
    </row>
    <row r="47" spans="1:10" x14ac:dyDescent="0.25">
      <c r="A47" s="10" t="s">
        <v>114</v>
      </c>
      <c r="B47" s="13">
        <v>1814.6</v>
      </c>
      <c r="C47" s="13">
        <v>1854.4</v>
      </c>
      <c r="D47" s="13" t="str">
        <f t="shared" si="0"/>
        <v>I</v>
      </c>
      <c r="E47" s="14">
        <v>7.5110275689222999E-3</v>
      </c>
      <c r="F47" s="14">
        <v>1.15E-2</v>
      </c>
      <c r="G47" s="18">
        <f t="shared" si="1"/>
        <v>7.5110275689222999E-3</v>
      </c>
      <c r="H47" s="11">
        <f t="shared" si="2"/>
        <v>1.1499999999999999</v>
      </c>
      <c r="I47" s="11">
        <v>1839.3</v>
      </c>
      <c r="J47" s="10" t="str">
        <f t="shared" si="3"/>
        <v>Excentricidad  maxima del 1.15%</v>
      </c>
    </row>
    <row r="48" spans="1:10" x14ac:dyDescent="0.25">
      <c r="A48" s="10" t="s">
        <v>115</v>
      </c>
      <c r="B48" s="13">
        <v>1856.6</v>
      </c>
      <c r="C48" s="13">
        <v>1898</v>
      </c>
      <c r="D48" s="13" t="str">
        <f t="shared" si="0"/>
        <v>I</v>
      </c>
      <c r="E48" s="14">
        <v>7.6399999999999897E-3</v>
      </c>
      <c r="F48" s="14">
        <v>1.2500000000000001E-2</v>
      </c>
      <c r="G48" s="18">
        <f t="shared" si="1"/>
        <v>7.6399999999999897E-3</v>
      </c>
      <c r="H48" s="11">
        <f t="shared" si="2"/>
        <v>1.25</v>
      </c>
      <c r="I48" s="11">
        <v>1859.6</v>
      </c>
      <c r="J48" s="10" t="str">
        <f t="shared" si="3"/>
        <v>Excentricidad  maxima del 1.25%</v>
      </c>
    </row>
    <row r="49" spans="1:10" x14ac:dyDescent="0.25">
      <c r="A49" s="10" t="s">
        <v>116</v>
      </c>
      <c r="B49" s="13">
        <v>1900.2</v>
      </c>
      <c r="C49" s="13">
        <v>1941.3</v>
      </c>
      <c r="D49" s="13" t="str">
        <f t="shared" si="0"/>
        <v>I</v>
      </c>
      <c r="E49" s="14">
        <v>7.7820388349514498E-3</v>
      </c>
      <c r="F49" s="14">
        <v>1.2699999999999999E-2</v>
      </c>
      <c r="G49" s="18">
        <f t="shared" si="1"/>
        <v>7.7820388349514498E-3</v>
      </c>
      <c r="H49" s="11">
        <f t="shared" si="2"/>
        <v>1.27</v>
      </c>
      <c r="I49" s="11">
        <v>1909.6</v>
      </c>
      <c r="J49" s="10" t="str">
        <f t="shared" si="3"/>
        <v>Excentricidad  maxima del 1.27%</v>
      </c>
    </row>
    <row r="50" spans="1:10" x14ac:dyDescent="0.25">
      <c r="A50" s="10" t="s">
        <v>117</v>
      </c>
      <c r="B50" s="13">
        <v>1943.5</v>
      </c>
      <c r="C50" s="13">
        <v>1984.5</v>
      </c>
      <c r="D50" s="13" t="str">
        <f t="shared" si="0"/>
        <v>I</v>
      </c>
      <c r="E50" s="14">
        <v>8.0841849148418493E-3</v>
      </c>
      <c r="F50" s="14">
        <v>1.26E-2</v>
      </c>
      <c r="G50" s="18">
        <f t="shared" si="1"/>
        <v>8.0841849148418493E-3</v>
      </c>
      <c r="H50" s="11">
        <f t="shared" si="2"/>
        <v>1.26</v>
      </c>
      <c r="I50" s="11">
        <v>1954.1</v>
      </c>
      <c r="J50" s="10" t="str">
        <f t="shared" si="3"/>
        <v>Excentricidad  maxima del 1.26%</v>
      </c>
    </row>
    <row r="51" spans="1:10" x14ac:dyDescent="0.25">
      <c r="A51" s="10" t="s">
        <v>118</v>
      </c>
      <c r="B51" s="13">
        <v>1986.7</v>
      </c>
      <c r="C51" s="13">
        <v>2021.8</v>
      </c>
      <c r="D51" s="13" t="str">
        <f t="shared" si="0"/>
        <v>I</v>
      </c>
      <c r="E51" s="14">
        <v>8.2036931818181696E-3</v>
      </c>
      <c r="F51" s="14">
        <v>1.44E-2</v>
      </c>
      <c r="G51" s="18">
        <f t="shared" si="1"/>
        <v>8.2036931818181696E-3</v>
      </c>
      <c r="H51" s="11">
        <f t="shared" si="2"/>
        <v>1.44</v>
      </c>
      <c r="I51" s="11">
        <v>2005.6</v>
      </c>
      <c r="J51" s="10" t="str">
        <f t="shared" si="3"/>
        <v>Excentricidad  maxima del 1.44%</v>
      </c>
    </row>
    <row r="52" spans="1:10" x14ac:dyDescent="0.25">
      <c r="A52" s="10" t="s">
        <v>119</v>
      </c>
      <c r="B52" s="13">
        <v>2024</v>
      </c>
      <c r="C52" s="13">
        <v>2063.9</v>
      </c>
      <c r="D52" s="13" t="str">
        <f t="shared" si="0"/>
        <v>I</v>
      </c>
      <c r="E52" s="14">
        <v>7.9782499999999906E-3</v>
      </c>
      <c r="F52" s="14">
        <v>1.21E-2</v>
      </c>
      <c r="G52" s="18">
        <f t="shared" si="1"/>
        <v>7.9782499999999906E-3</v>
      </c>
      <c r="H52" s="11">
        <f t="shared" si="2"/>
        <v>1.21</v>
      </c>
      <c r="I52" s="11">
        <v>2030.7</v>
      </c>
      <c r="J52" s="10" t="str">
        <f t="shared" si="3"/>
        <v>Excentricidad  maxima del 1.21%</v>
      </c>
    </row>
    <row r="53" spans="1:10" x14ac:dyDescent="0.25">
      <c r="A53" s="10" t="s">
        <v>120</v>
      </c>
      <c r="B53" s="13">
        <v>2066.1</v>
      </c>
      <c r="C53" s="13">
        <v>2107.1999999999998</v>
      </c>
      <c r="D53" s="13" t="str">
        <f t="shared" si="0"/>
        <v>I</v>
      </c>
      <c r="E53" s="14">
        <v>8.3922330097087293E-3</v>
      </c>
      <c r="F53" s="14">
        <v>1.32E-2</v>
      </c>
      <c r="G53" s="18">
        <f t="shared" si="1"/>
        <v>8.3922330097087293E-3</v>
      </c>
      <c r="H53" s="11">
        <f t="shared" si="2"/>
        <v>1.32</v>
      </c>
      <c r="I53" s="11">
        <v>2081.9</v>
      </c>
      <c r="J53" s="10" t="str">
        <f t="shared" si="3"/>
        <v>Excentricidad  maxima del 1.32%</v>
      </c>
    </row>
    <row r="54" spans="1:10" x14ac:dyDescent="0.25">
      <c r="A54" s="10" t="s">
        <v>121</v>
      </c>
      <c r="B54" s="13">
        <v>2109.4</v>
      </c>
      <c r="C54" s="13">
        <v>2148.9</v>
      </c>
      <c r="D54" s="13" t="str">
        <f t="shared" si="0"/>
        <v>I</v>
      </c>
      <c r="E54" s="14">
        <v>7.8921717171717195E-3</v>
      </c>
      <c r="F54" s="14">
        <v>1.47E-2</v>
      </c>
      <c r="G54" s="18">
        <f t="shared" si="1"/>
        <v>7.8921717171717195E-3</v>
      </c>
      <c r="H54" s="11">
        <f t="shared" si="2"/>
        <v>1.47</v>
      </c>
      <c r="I54" s="11">
        <v>2111.1999999999998</v>
      </c>
      <c r="J54" s="10" t="str">
        <f t="shared" si="3"/>
        <v>Excentricidad  maxima del 1.47%</v>
      </c>
    </row>
    <row r="55" spans="1:10" x14ac:dyDescent="0.25">
      <c r="A55" s="10" t="s">
        <v>122</v>
      </c>
      <c r="B55" s="13">
        <v>2151.1</v>
      </c>
      <c r="C55" s="13">
        <v>2191.6999999999998</v>
      </c>
      <c r="D55" s="13" t="str">
        <f t="shared" si="0"/>
        <v>I</v>
      </c>
      <c r="E55" s="14">
        <v>8.4034398034397995E-3</v>
      </c>
      <c r="F55" s="14">
        <v>1.2699999999999999E-2</v>
      </c>
      <c r="G55" s="18">
        <f t="shared" si="1"/>
        <v>8.4034398034397995E-3</v>
      </c>
      <c r="H55" s="11">
        <f t="shared" si="2"/>
        <v>1.27</v>
      </c>
      <c r="I55" s="11">
        <v>2157</v>
      </c>
      <c r="J55" s="10" t="str">
        <f t="shared" si="3"/>
        <v>Excentricidad  maxima del 1.27%</v>
      </c>
    </row>
    <row r="56" spans="1:10" x14ac:dyDescent="0.25">
      <c r="A56" s="10" t="s">
        <v>123</v>
      </c>
      <c r="B56" s="13">
        <v>2193.9</v>
      </c>
      <c r="C56" s="13">
        <v>2232.3000000000002</v>
      </c>
      <c r="D56" s="13" t="str">
        <f t="shared" si="0"/>
        <v>I</v>
      </c>
      <c r="E56" s="14">
        <v>7.7181818181818202E-3</v>
      </c>
      <c r="F56" s="14">
        <v>1.1599999999999999E-2</v>
      </c>
      <c r="G56" s="18">
        <f t="shared" si="1"/>
        <v>7.7181818181818202E-3</v>
      </c>
      <c r="H56" s="11">
        <f t="shared" si="2"/>
        <v>1.1599999999999999</v>
      </c>
      <c r="I56" s="11">
        <v>2211.1</v>
      </c>
      <c r="J56" s="10" t="str">
        <f t="shared" si="3"/>
        <v>Excentricidad  maxima del 1.16%</v>
      </c>
    </row>
    <row r="57" spans="1:10" x14ac:dyDescent="0.25">
      <c r="A57" s="10" t="s">
        <v>124</v>
      </c>
      <c r="B57" s="13">
        <v>2234.5</v>
      </c>
      <c r="C57" s="13">
        <v>2276.3000000000002</v>
      </c>
      <c r="D57" s="13" t="str">
        <f t="shared" si="0"/>
        <v>I</v>
      </c>
      <c r="E57" s="14">
        <v>7.7639618138424802E-3</v>
      </c>
      <c r="F57" s="14">
        <v>1.41E-2</v>
      </c>
      <c r="G57" s="18">
        <f t="shared" si="1"/>
        <v>7.7639618138424802E-3</v>
      </c>
      <c r="H57" s="11">
        <f t="shared" si="2"/>
        <v>1.41</v>
      </c>
      <c r="I57" s="11">
        <v>2239.6</v>
      </c>
      <c r="J57" s="10" t="str">
        <f t="shared" si="3"/>
        <v>Excentricidad  maxima del 1.41%</v>
      </c>
    </row>
    <row r="58" spans="1:10" x14ac:dyDescent="0.25">
      <c r="A58" s="10" t="s">
        <v>125</v>
      </c>
      <c r="B58" s="13">
        <v>2278.5</v>
      </c>
      <c r="C58" s="13">
        <v>2318.9</v>
      </c>
      <c r="D58" s="13" t="str">
        <f t="shared" si="0"/>
        <v>I</v>
      </c>
      <c r="E58" s="14">
        <v>7.5733333333333399E-3</v>
      </c>
      <c r="F58" s="14">
        <v>1.21E-2</v>
      </c>
      <c r="G58" s="18">
        <f t="shared" si="1"/>
        <v>7.5733333333333399E-3</v>
      </c>
      <c r="H58" s="11">
        <f t="shared" si="2"/>
        <v>1.21</v>
      </c>
      <c r="I58" s="11">
        <v>2318.5</v>
      </c>
      <c r="J58" s="10" t="str">
        <f t="shared" si="3"/>
        <v>Excentricidad  maxima del 1.21%</v>
      </c>
    </row>
    <row r="59" spans="1:10" x14ac:dyDescent="0.25">
      <c r="A59" s="10" t="s">
        <v>126</v>
      </c>
      <c r="B59" s="13">
        <v>2321.1</v>
      </c>
      <c r="C59" s="13">
        <v>2355.9</v>
      </c>
      <c r="D59" s="13" t="str">
        <f t="shared" si="0"/>
        <v>I</v>
      </c>
      <c r="E59" s="14">
        <v>8.2713467048710493E-3</v>
      </c>
      <c r="F59" s="14">
        <v>1.18E-2</v>
      </c>
      <c r="G59" s="18">
        <f t="shared" si="1"/>
        <v>8.2713467048710493E-3</v>
      </c>
      <c r="H59" s="11">
        <f t="shared" si="2"/>
        <v>1.18</v>
      </c>
      <c r="I59" s="11">
        <v>2326.4</v>
      </c>
      <c r="J59" s="10" t="str">
        <f t="shared" si="3"/>
        <v>Excentricidad  maxima del 1.18%</v>
      </c>
    </row>
    <row r="60" spans="1:10" x14ac:dyDescent="0.25">
      <c r="A60" s="10" t="s">
        <v>127</v>
      </c>
      <c r="B60" s="13">
        <v>2358.1</v>
      </c>
      <c r="C60" s="13">
        <v>2394.1</v>
      </c>
      <c r="D60" s="13" t="str">
        <f t="shared" si="0"/>
        <v>I</v>
      </c>
      <c r="E60" s="14">
        <v>7.3407202216066404E-3</v>
      </c>
      <c r="F60" s="14">
        <v>1.1299999999999999E-2</v>
      </c>
      <c r="G60" s="18">
        <f t="shared" si="1"/>
        <v>7.3407202216066404E-3</v>
      </c>
      <c r="H60" s="11">
        <f t="shared" si="2"/>
        <v>1.1299999999999999</v>
      </c>
      <c r="I60" s="11">
        <v>2374.6999999999998</v>
      </c>
      <c r="J60" s="10" t="str">
        <f t="shared" si="3"/>
        <v>Excentricidad  maxima del 1.13%</v>
      </c>
    </row>
    <row r="61" spans="1:10" x14ac:dyDescent="0.25">
      <c r="A61" s="10" t="s">
        <v>128</v>
      </c>
      <c r="B61" s="13">
        <v>2396.3000000000002</v>
      </c>
      <c r="C61" s="13">
        <v>2431.9</v>
      </c>
      <c r="D61" s="13" t="str">
        <f t="shared" si="0"/>
        <v>I</v>
      </c>
      <c r="E61" s="14">
        <v>8.0537815126050395E-3</v>
      </c>
      <c r="F61" s="14">
        <v>1.2500000000000001E-2</v>
      </c>
      <c r="G61" s="18">
        <f t="shared" si="1"/>
        <v>8.0537815126050395E-3</v>
      </c>
      <c r="H61" s="11">
        <f t="shared" si="2"/>
        <v>1.25</v>
      </c>
      <c r="I61" s="11">
        <v>2417.3000000000002</v>
      </c>
      <c r="J61" s="10" t="str">
        <f>"Excentricidad  maxima del "&amp;TEXT(F61,"0.00%")</f>
        <v>Excentricidad  maxima del 1.25%</v>
      </c>
    </row>
    <row r="62" spans="1:10" x14ac:dyDescent="0.25">
      <c r="A62" s="10" t="s">
        <v>129</v>
      </c>
      <c r="B62" s="13">
        <v>2434.1</v>
      </c>
      <c r="C62" s="13">
        <v>2470</v>
      </c>
      <c r="D62" s="13" t="str">
        <f t="shared" si="0"/>
        <v>I</v>
      </c>
      <c r="E62" s="14">
        <v>7.5799999999999999E-3</v>
      </c>
      <c r="F62" s="14">
        <v>1.21E-2</v>
      </c>
      <c r="G62" s="18">
        <f t="shared" si="1"/>
        <v>7.5799999999999999E-3</v>
      </c>
      <c r="H62" s="11">
        <f t="shared" si="2"/>
        <v>1.21</v>
      </c>
      <c r="I62" s="11">
        <v>2442.6</v>
      </c>
      <c r="J62" s="10" t="str">
        <f t="shared" si="3"/>
        <v>Excentricidad  maxima del 1.21%</v>
      </c>
    </row>
    <row r="63" spans="1:10" x14ac:dyDescent="0.25">
      <c r="A63" s="10" t="s">
        <v>130</v>
      </c>
      <c r="B63" s="13">
        <v>2472.1999999999998</v>
      </c>
      <c r="C63" s="13">
        <v>2508.6</v>
      </c>
      <c r="D63" s="13" t="str">
        <f t="shared" si="0"/>
        <v>I</v>
      </c>
      <c r="E63" s="14">
        <v>8.0479452054794502E-3</v>
      </c>
      <c r="F63" s="14">
        <v>1.1900000000000001E-2</v>
      </c>
      <c r="G63" s="18">
        <f t="shared" si="1"/>
        <v>8.0479452054794502E-3</v>
      </c>
      <c r="H63" s="11">
        <f t="shared" si="2"/>
        <v>1.1900000000000002</v>
      </c>
      <c r="I63" s="11">
        <v>2483.1999999999998</v>
      </c>
      <c r="J63" s="10" t="str">
        <f t="shared" si="3"/>
        <v>Excentricidad  maxima del 1.19%</v>
      </c>
    </row>
    <row r="64" spans="1:10" x14ac:dyDescent="0.25">
      <c r="A64" s="10" t="s">
        <v>131</v>
      </c>
      <c r="B64" s="13">
        <v>2510.8000000000002</v>
      </c>
      <c r="C64" s="13">
        <v>2546.4</v>
      </c>
      <c r="D64" s="13" t="str">
        <f t="shared" si="0"/>
        <v>I</v>
      </c>
      <c r="E64" s="14">
        <v>7.8680672268907608E-3</v>
      </c>
      <c r="F64" s="14">
        <v>1.2E-2</v>
      </c>
      <c r="G64" s="18">
        <f t="shared" si="1"/>
        <v>7.8680672268907608E-3</v>
      </c>
      <c r="H64" s="11">
        <f t="shared" si="2"/>
        <v>1.2</v>
      </c>
      <c r="I64" s="11">
        <v>2542</v>
      </c>
      <c r="J64" s="10" t="str">
        <f t="shared" si="3"/>
        <v>Excentricidad  maxima del 1.20%</v>
      </c>
    </row>
    <row r="65" spans="1:10" x14ac:dyDescent="0.25">
      <c r="A65" s="10" t="s">
        <v>132</v>
      </c>
      <c r="B65" s="13">
        <v>2548.6</v>
      </c>
      <c r="C65" s="13">
        <v>2584.3000000000002</v>
      </c>
      <c r="D65" s="13" t="str">
        <f t="shared" si="0"/>
        <v>I</v>
      </c>
      <c r="E65" s="14">
        <v>7.9427374301675995E-3</v>
      </c>
      <c r="F65" s="14">
        <v>1.17E-2</v>
      </c>
      <c r="G65" s="18">
        <f t="shared" si="1"/>
        <v>7.9427374301675995E-3</v>
      </c>
      <c r="H65" s="11">
        <f t="shared" si="2"/>
        <v>1.17</v>
      </c>
      <c r="I65" s="11">
        <v>2555.4</v>
      </c>
      <c r="J65" s="10" t="str">
        <f t="shared" si="3"/>
        <v>Excentricidad  maxima del 1.17%</v>
      </c>
    </row>
    <row r="66" spans="1:10" x14ac:dyDescent="0.25">
      <c r="A66" s="10" t="s">
        <v>133</v>
      </c>
      <c r="B66" s="13">
        <v>2586.5</v>
      </c>
      <c r="C66" s="13">
        <v>2623.1</v>
      </c>
      <c r="D66" s="13" t="str">
        <f t="shared" si="0"/>
        <v>I</v>
      </c>
      <c r="E66" s="14">
        <v>7.8991825613079006E-3</v>
      </c>
      <c r="F66" s="14">
        <v>1.3100000000000001E-2</v>
      </c>
      <c r="G66" s="18">
        <f t="shared" si="1"/>
        <v>7.8991825613079006E-3</v>
      </c>
      <c r="H66" s="11">
        <f t="shared" si="2"/>
        <v>1.31</v>
      </c>
      <c r="I66" s="11">
        <v>2598</v>
      </c>
      <c r="J66" s="10" t="str">
        <f t="shared" si="3"/>
        <v>Excentricidad  maxima del 1.31%</v>
      </c>
    </row>
    <row r="67" spans="1:10" x14ac:dyDescent="0.25">
      <c r="A67" s="10" t="s">
        <v>134</v>
      </c>
      <c r="B67" s="13">
        <v>2625.3</v>
      </c>
      <c r="C67" s="13">
        <v>2660.5</v>
      </c>
      <c r="D67" s="13" t="str">
        <f t="shared" ref="D67:D130" si="4">IF((F67)&lt;2%,"I",IF((F67)&lt;5%,"II","III"))</f>
        <v>I</v>
      </c>
      <c r="E67" s="14">
        <v>7.7988668555240802E-3</v>
      </c>
      <c r="F67" s="14">
        <v>1.12E-2</v>
      </c>
      <c r="G67" s="18">
        <f t="shared" ref="G67:G130" si="5">E67</f>
        <v>7.7988668555240802E-3</v>
      </c>
      <c r="H67" s="11">
        <f t="shared" ref="H67:H130" si="6">F67*100</f>
        <v>1.1199999999999999</v>
      </c>
      <c r="I67" s="11">
        <v>2642.6</v>
      </c>
      <c r="J67" s="10" t="str">
        <f t="shared" ref="J67:J80" si="7">"Excentricidad  maxima del "&amp;TEXT(F67,"0.00%")</f>
        <v>Excentricidad  maxima del 1.12%</v>
      </c>
    </row>
    <row r="68" spans="1:10" x14ac:dyDescent="0.25">
      <c r="A68" s="10" t="s">
        <v>135</v>
      </c>
      <c r="B68" s="13">
        <v>2662.7</v>
      </c>
      <c r="C68" s="13">
        <v>2698.8</v>
      </c>
      <c r="D68" s="13" t="str">
        <f>IF((F68)&lt;2%,"I",IF((F68)&lt;5%,"II","III"))</f>
        <v>I</v>
      </c>
      <c r="E68" s="14">
        <v>7.6447513812154698E-3</v>
      </c>
      <c r="F68" s="14">
        <v>1.1900000000000001E-2</v>
      </c>
      <c r="G68" s="18">
        <f t="shared" si="5"/>
        <v>7.6447513812154698E-3</v>
      </c>
      <c r="H68" s="11">
        <f t="shared" si="6"/>
        <v>1.1900000000000002</v>
      </c>
      <c r="I68" s="11">
        <v>2662.7</v>
      </c>
      <c r="J68" s="10" t="str">
        <f t="shared" si="7"/>
        <v>Excentricidad  maxima del 1.19%</v>
      </c>
    </row>
    <row r="69" spans="1:10" x14ac:dyDescent="0.25">
      <c r="A69" s="10" t="s">
        <v>136</v>
      </c>
      <c r="B69" s="13">
        <v>2701</v>
      </c>
      <c r="C69" s="13">
        <v>2737.4</v>
      </c>
      <c r="D69" s="13" t="str">
        <f t="shared" si="4"/>
        <v>I</v>
      </c>
      <c r="E69" s="14">
        <v>7.4164383561643801E-3</v>
      </c>
      <c r="F69" s="14">
        <v>1.18E-2</v>
      </c>
      <c r="G69" s="18">
        <f t="shared" si="5"/>
        <v>7.4164383561643801E-3</v>
      </c>
      <c r="H69" s="11">
        <f t="shared" si="6"/>
        <v>1.18</v>
      </c>
      <c r="I69" s="11">
        <v>2734.1</v>
      </c>
      <c r="J69" s="10" t="str">
        <f t="shared" si="7"/>
        <v>Excentricidad  maxima del 1.18%</v>
      </c>
    </row>
    <row r="70" spans="1:10" x14ac:dyDescent="0.25">
      <c r="A70" s="10" t="s">
        <v>137</v>
      </c>
      <c r="B70" s="13">
        <v>2739.6</v>
      </c>
      <c r="C70" s="13">
        <v>2775.6</v>
      </c>
      <c r="D70" s="13" t="str">
        <f t="shared" si="4"/>
        <v>I</v>
      </c>
      <c r="E70" s="14">
        <v>8.5404432132963996E-3</v>
      </c>
      <c r="F70" s="14">
        <v>1.35E-2</v>
      </c>
      <c r="G70" s="18">
        <f t="shared" si="5"/>
        <v>8.5404432132963996E-3</v>
      </c>
      <c r="H70" s="11">
        <f t="shared" si="6"/>
        <v>1.35</v>
      </c>
      <c r="I70" s="11">
        <v>2759.7</v>
      </c>
      <c r="J70" s="10" t="str">
        <f t="shared" si="7"/>
        <v>Excentricidad  maxima del 1.35%</v>
      </c>
    </row>
    <row r="71" spans="1:10" x14ac:dyDescent="0.25">
      <c r="A71" s="10" t="s">
        <v>138</v>
      </c>
      <c r="B71" s="13">
        <v>2777.8</v>
      </c>
      <c r="C71" s="13">
        <v>2812</v>
      </c>
      <c r="D71" s="13" t="str">
        <f t="shared" si="4"/>
        <v>I</v>
      </c>
      <c r="E71" s="14">
        <v>7.5396501457725904E-3</v>
      </c>
      <c r="F71" s="14">
        <v>1.18E-2</v>
      </c>
      <c r="G71" s="18">
        <f t="shared" si="5"/>
        <v>7.5396501457725904E-3</v>
      </c>
      <c r="H71" s="11">
        <f t="shared" si="6"/>
        <v>1.18</v>
      </c>
      <c r="I71" s="11">
        <v>2802.5</v>
      </c>
      <c r="J71" s="10" t="str">
        <f t="shared" si="7"/>
        <v>Excentricidad  maxima del 1.18%</v>
      </c>
    </row>
    <row r="72" spans="1:10" x14ac:dyDescent="0.25">
      <c r="A72" s="10" t="s">
        <v>139</v>
      </c>
      <c r="B72" s="13">
        <v>2814.2</v>
      </c>
      <c r="C72" s="13">
        <v>2850.7</v>
      </c>
      <c r="D72" s="13" t="str">
        <f t="shared" si="4"/>
        <v>I</v>
      </c>
      <c r="E72" s="14">
        <v>7.9095628415300507E-3</v>
      </c>
      <c r="F72" s="14">
        <v>1.17E-2</v>
      </c>
      <c r="G72" s="18">
        <f t="shared" si="5"/>
        <v>7.9095628415300507E-3</v>
      </c>
      <c r="H72" s="11">
        <f t="shared" si="6"/>
        <v>1.17</v>
      </c>
      <c r="I72" s="11">
        <v>2842</v>
      </c>
      <c r="J72" s="10" t="str">
        <f t="shared" si="7"/>
        <v>Excentricidad  maxima del 1.17%</v>
      </c>
    </row>
    <row r="73" spans="1:10" x14ac:dyDescent="0.25">
      <c r="A73" s="10" t="s">
        <v>140</v>
      </c>
      <c r="B73" s="13">
        <v>2852.9</v>
      </c>
      <c r="C73" s="13">
        <v>2887.8</v>
      </c>
      <c r="D73" s="13" t="str">
        <f t="shared" si="4"/>
        <v>I</v>
      </c>
      <c r="E73" s="14">
        <v>7.4968571428571402E-3</v>
      </c>
      <c r="F73" s="14">
        <v>1.1900000000000001E-2</v>
      </c>
      <c r="G73" s="18">
        <f t="shared" si="5"/>
        <v>7.4968571428571402E-3</v>
      </c>
      <c r="H73" s="11">
        <f t="shared" si="6"/>
        <v>1.1900000000000002</v>
      </c>
      <c r="I73" s="11">
        <v>2883.3</v>
      </c>
      <c r="J73" s="10" t="str">
        <f t="shared" si="7"/>
        <v>Excentricidad  maxima del 1.19%</v>
      </c>
    </row>
    <row r="74" spans="1:10" x14ac:dyDescent="0.25">
      <c r="A74" s="10" t="s">
        <v>141</v>
      </c>
      <c r="B74" s="13">
        <v>2890</v>
      </c>
      <c r="C74" s="13">
        <v>2926.7</v>
      </c>
      <c r="D74" s="13" t="str">
        <f t="shared" si="4"/>
        <v>I</v>
      </c>
      <c r="E74" s="14">
        <v>8.1089673913043395E-3</v>
      </c>
      <c r="F74" s="14">
        <v>1.4E-2</v>
      </c>
      <c r="G74" s="18">
        <f t="shared" si="5"/>
        <v>8.1089673913043395E-3</v>
      </c>
      <c r="H74" s="11">
        <f t="shared" si="6"/>
        <v>1.4000000000000001</v>
      </c>
      <c r="I74" s="11">
        <v>2921.2</v>
      </c>
      <c r="J74" s="10" t="str">
        <f t="shared" si="7"/>
        <v>Excentricidad  maxima del 1.40%</v>
      </c>
    </row>
    <row r="75" spans="1:10" x14ac:dyDescent="0.25">
      <c r="A75" s="10" t="s">
        <v>142</v>
      </c>
      <c r="B75" s="13">
        <v>2928.9</v>
      </c>
      <c r="C75" s="13">
        <v>2964.3</v>
      </c>
      <c r="D75" s="13" t="str">
        <f t="shared" si="4"/>
        <v>I</v>
      </c>
      <c r="E75" s="14">
        <v>8.7261971830985795E-3</v>
      </c>
      <c r="F75" s="14">
        <v>1.46E-2</v>
      </c>
      <c r="G75" s="18">
        <f t="shared" si="5"/>
        <v>8.7261971830985795E-3</v>
      </c>
      <c r="H75" s="11">
        <f t="shared" si="6"/>
        <v>1.46</v>
      </c>
      <c r="I75" s="11">
        <v>2946.3</v>
      </c>
      <c r="J75" s="10" t="str">
        <f t="shared" si="7"/>
        <v>Excentricidad  maxima del 1.46%</v>
      </c>
    </row>
    <row r="76" spans="1:10" x14ac:dyDescent="0.25">
      <c r="A76" s="10" t="s">
        <v>143</v>
      </c>
      <c r="B76" s="13">
        <v>2966.5</v>
      </c>
      <c r="C76" s="13">
        <v>3007.2</v>
      </c>
      <c r="D76" s="13" t="str">
        <f t="shared" si="4"/>
        <v>I</v>
      </c>
      <c r="E76" s="14">
        <v>8.1220588235294093E-3</v>
      </c>
      <c r="F76" s="14">
        <v>1.2500000000000001E-2</v>
      </c>
      <c r="G76" s="18">
        <f t="shared" si="5"/>
        <v>8.1220588235294093E-3</v>
      </c>
      <c r="H76" s="11">
        <f t="shared" si="6"/>
        <v>1.25</v>
      </c>
      <c r="I76" s="11">
        <v>2989.4</v>
      </c>
      <c r="J76" s="10" t="str">
        <f t="shared" si="7"/>
        <v>Excentricidad  maxima del 1.25%</v>
      </c>
    </row>
    <row r="77" spans="1:10" x14ac:dyDescent="0.25">
      <c r="A77" s="10" t="s">
        <v>144</v>
      </c>
      <c r="B77" s="13">
        <v>3009.4</v>
      </c>
      <c r="C77" s="13">
        <v>3050.5</v>
      </c>
      <c r="D77" s="13" t="str">
        <f t="shared" si="4"/>
        <v>I</v>
      </c>
      <c r="E77" s="14">
        <v>9.0422330097087306E-3</v>
      </c>
      <c r="F77" s="14">
        <v>1.2500000000000001E-2</v>
      </c>
      <c r="G77" s="18">
        <f t="shared" si="5"/>
        <v>9.0422330097087306E-3</v>
      </c>
      <c r="H77" s="11">
        <f t="shared" si="6"/>
        <v>1.25</v>
      </c>
      <c r="I77" s="11">
        <v>3023.8</v>
      </c>
      <c r="J77" s="10" t="str">
        <f t="shared" si="7"/>
        <v>Excentricidad  maxima del 1.25%</v>
      </c>
    </row>
    <row r="78" spans="1:10" x14ac:dyDescent="0.25">
      <c r="A78" s="10" t="s">
        <v>145</v>
      </c>
      <c r="B78" s="13">
        <v>3052.7</v>
      </c>
      <c r="C78" s="13">
        <v>3088.1</v>
      </c>
      <c r="D78" s="13" t="str">
        <f t="shared" si="4"/>
        <v>I</v>
      </c>
      <c r="E78" s="14">
        <v>7.1152112676056301E-3</v>
      </c>
      <c r="F78" s="14">
        <v>1.0999999999999999E-2</v>
      </c>
      <c r="G78" s="18">
        <f t="shared" si="5"/>
        <v>7.1152112676056301E-3</v>
      </c>
      <c r="H78" s="11">
        <f t="shared" si="6"/>
        <v>1.0999999999999999</v>
      </c>
      <c r="I78" s="11">
        <v>3065.1</v>
      </c>
      <c r="J78" s="10" t="str">
        <f t="shared" si="7"/>
        <v>Excentricidad  maxima del 1.10%</v>
      </c>
    </row>
    <row r="79" spans="1:10" x14ac:dyDescent="0.25">
      <c r="A79" s="10" t="s">
        <v>146</v>
      </c>
      <c r="B79" s="13">
        <v>3090.3</v>
      </c>
      <c r="C79" s="13">
        <v>3127</v>
      </c>
      <c r="D79" s="13" t="str">
        <f t="shared" si="4"/>
        <v>I</v>
      </c>
      <c r="E79" s="14">
        <v>7.6597826086956498E-3</v>
      </c>
      <c r="F79" s="14">
        <v>1.18E-2</v>
      </c>
      <c r="G79" s="18">
        <f t="shared" si="5"/>
        <v>7.6597826086956498E-3</v>
      </c>
      <c r="H79" s="11">
        <f t="shared" si="6"/>
        <v>1.18</v>
      </c>
      <c r="I79" s="11">
        <v>3091.9</v>
      </c>
      <c r="J79" s="10" t="str">
        <f t="shared" si="7"/>
        <v>Excentricidad  maxima del 1.18%</v>
      </c>
    </row>
    <row r="80" spans="1:10" x14ac:dyDescent="0.25">
      <c r="A80" s="10" t="s">
        <v>147</v>
      </c>
      <c r="B80" s="13">
        <v>3129.2</v>
      </c>
      <c r="C80" s="13">
        <v>3168.1</v>
      </c>
      <c r="D80" s="13" t="str">
        <f t="shared" si="4"/>
        <v>I</v>
      </c>
      <c r="E80" s="14">
        <v>6.8974358974359003E-3</v>
      </c>
      <c r="F80" s="14">
        <v>1.0200000000000001E-2</v>
      </c>
      <c r="G80" s="18">
        <f t="shared" si="5"/>
        <v>6.8974358974359003E-3</v>
      </c>
      <c r="H80" s="11">
        <f t="shared" si="6"/>
        <v>1.02</v>
      </c>
      <c r="I80" s="11">
        <v>3149.2</v>
      </c>
      <c r="J80" s="10" t="str">
        <f t="shared" si="7"/>
        <v>Excentricidad  maxima del 1.02%</v>
      </c>
    </row>
    <row r="81" spans="1:10" x14ac:dyDescent="0.25">
      <c r="A81" s="10" t="s">
        <v>148</v>
      </c>
      <c r="B81" s="13">
        <v>3170.3</v>
      </c>
      <c r="C81" s="13">
        <v>3211.4</v>
      </c>
      <c r="D81" s="13" t="str">
        <f t="shared" si="4"/>
        <v>I</v>
      </c>
      <c r="E81" s="14">
        <v>7.8305825242718508E-3</v>
      </c>
      <c r="F81" s="14">
        <v>1.49E-2</v>
      </c>
      <c r="G81" s="18">
        <f t="shared" si="5"/>
        <v>7.8305825242718508E-3</v>
      </c>
      <c r="H81" s="11">
        <f t="shared" si="6"/>
        <v>1.49</v>
      </c>
      <c r="I81" s="11">
        <v>3185.2</v>
      </c>
      <c r="J81" s="10" t="str">
        <f>"Excentricidad  maxima del "&amp;TEXT(F81,"0.00%")</f>
        <v>Excentricidad  maxima del 1.49%</v>
      </c>
    </row>
    <row r="82" spans="1:10" x14ac:dyDescent="0.25">
      <c r="A82" s="10" t="s">
        <v>149</v>
      </c>
      <c r="B82" s="13">
        <v>3213.6</v>
      </c>
      <c r="C82" s="13">
        <v>3253.7</v>
      </c>
      <c r="D82" s="13" t="str">
        <f t="shared" si="4"/>
        <v>I</v>
      </c>
      <c r="E82" s="14">
        <v>8.2052238805970096E-3</v>
      </c>
      <c r="F82" s="14">
        <v>1.2800000000000001E-2</v>
      </c>
      <c r="G82" s="18">
        <f t="shared" si="5"/>
        <v>8.2052238805970096E-3</v>
      </c>
      <c r="H82" s="11">
        <f t="shared" si="6"/>
        <v>1.28</v>
      </c>
      <c r="I82" s="11">
        <v>3222.7</v>
      </c>
      <c r="J82" s="10" t="str">
        <f t="shared" ref="J82:J100" si="8">"Excentricidad  maxima del "&amp;TEXT(F82,"0.00%")</f>
        <v>Excentricidad  maxima del 1.28%</v>
      </c>
    </row>
    <row r="83" spans="1:10" x14ac:dyDescent="0.25">
      <c r="A83" s="10" t="s">
        <v>150</v>
      </c>
      <c r="B83" s="13">
        <v>3255.9</v>
      </c>
      <c r="C83" s="13">
        <v>3297.2</v>
      </c>
      <c r="D83" s="13" t="str">
        <f t="shared" si="4"/>
        <v>I</v>
      </c>
      <c r="E83" s="14">
        <v>6.7932367149758401E-3</v>
      </c>
      <c r="F83" s="14">
        <v>1.0800000000000001E-2</v>
      </c>
      <c r="G83" s="18">
        <f t="shared" si="5"/>
        <v>6.7932367149758401E-3</v>
      </c>
      <c r="H83" s="11">
        <f t="shared" si="6"/>
        <v>1.08</v>
      </c>
      <c r="I83" s="11">
        <v>3258.9</v>
      </c>
      <c r="J83" s="10" t="str">
        <f t="shared" si="8"/>
        <v>Excentricidad  maxima del 1.08%</v>
      </c>
    </row>
    <row r="84" spans="1:10" x14ac:dyDescent="0.25">
      <c r="A84" s="10" t="s">
        <v>151</v>
      </c>
      <c r="B84" s="13">
        <v>3299.4</v>
      </c>
      <c r="C84" s="13">
        <v>3339.9</v>
      </c>
      <c r="D84" s="13" t="str">
        <f t="shared" si="4"/>
        <v>I</v>
      </c>
      <c r="E84" s="14">
        <v>8.2044334975369393E-3</v>
      </c>
      <c r="F84" s="14">
        <v>1.8499999999999999E-2</v>
      </c>
      <c r="G84" s="18">
        <f t="shared" si="5"/>
        <v>8.2044334975369393E-3</v>
      </c>
      <c r="H84" s="11">
        <f t="shared" si="6"/>
        <v>1.8499999999999999</v>
      </c>
      <c r="I84" s="11">
        <v>3303</v>
      </c>
      <c r="J84" s="10" t="str">
        <f t="shared" si="8"/>
        <v>Excentricidad  maxima del 1.85%</v>
      </c>
    </row>
    <row r="85" spans="1:10" x14ac:dyDescent="0.25">
      <c r="A85" s="10" t="s">
        <v>152</v>
      </c>
      <c r="B85" s="13">
        <v>3342.1</v>
      </c>
      <c r="C85" s="13">
        <v>3378.1</v>
      </c>
      <c r="D85" s="13" t="str">
        <f t="shared" si="4"/>
        <v>I</v>
      </c>
      <c r="E85" s="14">
        <v>7.7526315789473704E-3</v>
      </c>
      <c r="F85" s="14">
        <v>1.1599999999999999E-2</v>
      </c>
      <c r="G85" s="18">
        <f t="shared" si="5"/>
        <v>7.7526315789473704E-3</v>
      </c>
      <c r="H85" s="11">
        <f t="shared" si="6"/>
        <v>1.1599999999999999</v>
      </c>
      <c r="I85" s="11">
        <v>3357.5</v>
      </c>
      <c r="J85" s="10" t="str">
        <f t="shared" si="8"/>
        <v>Excentricidad  maxima del 1.16%</v>
      </c>
    </row>
    <row r="86" spans="1:10" x14ac:dyDescent="0.25">
      <c r="A86" s="10" t="s">
        <v>153</v>
      </c>
      <c r="B86" s="13">
        <v>3380.3</v>
      </c>
      <c r="C86" s="13">
        <v>3416.6</v>
      </c>
      <c r="D86" s="13" t="str">
        <f t="shared" si="4"/>
        <v>I</v>
      </c>
      <c r="E86" s="14">
        <v>7.8387362637362592E-3</v>
      </c>
      <c r="F86" s="14">
        <v>1.17E-2</v>
      </c>
      <c r="G86" s="18">
        <f t="shared" si="5"/>
        <v>7.8387362637362592E-3</v>
      </c>
      <c r="H86" s="11">
        <f t="shared" si="6"/>
        <v>1.17</v>
      </c>
      <c r="I86" s="11">
        <v>3405.9</v>
      </c>
      <c r="J86" s="10" t="str">
        <f t="shared" si="8"/>
        <v>Excentricidad  maxima del 1.17%</v>
      </c>
    </row>
    <row r="87" spans="1:10" x14ac:dyDescent="0.25">
      <c r="A87" s="10" t="s">
        <v>154</v>
      </c>
      <c r="B87" s="13">
        <v>3418.8</v>
      </c>
      <c r="C87" s="13">
        <v>3454.9</v>
      </c>
      <c r="D87" s="13" t="str">
        <f t="shared" si="4"/>
        <v>I</v>
      </c>
      <c r="E87" s="14">
        <v>7.9403314917127002E-3</v>
      </c>
      <c r="F87" s="14">
        <v>1.23E-2</v>
      </c>
      <c r="G87" s="18">
        <f t="shared" si="5"/>
        <v>7.9403314917127002E-3</v>
      </c>
      <c r="H87" s="11">
        <f t="shared" si="6"/>
        <v>1.23</v>
      </c>
      <c r="I87" s="11">
        <v>3452.5</v>
      </c>
      <c r="J87" s="10" t="str">
        <f t="shared" si="8"/>
        <v>Excentricidad  maxima del 1.23%</v>
      </c>
    </row>
    <row r="88" spans="1:10" x14ac:dyDescent="0.25">
      <c r="A88" s="10" t="s">
        <v>155</v>
      </c>
      <c r="B88" s="13">
        <v>3457.1</v>
      </c>
      <c r="C88" s="13">
        <v>3494.7</v>
      </c>
      <c r="D88" s="13" t="str">
        <f t="shared" si="4"/>
        <v>I</v>
      </c>
      <c r="E88" s="14">
        <v>8.4506631299734701E-3</v>
      </c>
      <c r="F88" s="14">
        <v>1.41E-2</v>
      </c>
      <c r="G88" s="18">
        <f t="shared" si="5"/>
        <v>8.4506631299734701E-3</v>
      </c>
      <c r="H88" s="11">
        <f t="shared" si="6"/>
        <v>1.41</v>
      </c>
      <c r="I88" s="11">
        <v>3487.9</v>
      </c>
      <c r="J88" s="10" t="str">
        <f t="shared" si="8"/>
        <v>Excentricidad  maxima del 1.41%</v>
      </c>
    </row>
    <row r="89" spans="1:10" x14ac:dyDescent="0.25">
      <c r="A89" s="10" t="s">
        <v>156</v>
      </c>
      <c r="B89" s="13">
        <v>3496.9</v>
      </c>
      <c r="C89" s="13">
        <v>3536.2</v>
      </c>
      <c r="D89" s="13" t="str">
        <f t="shared" si="4"/>
        <v>I</v>
      </c>
      <c r="E89" s="14">
        <v>8.9667512690355302E-3</v>
      </c>
      <c r="F89" s="14">
        <v>1.2699999999999999E-2</v>
      </c>
      <c r="G89" s="18">
        <f t="shared" si="5"/>
        <v>8.9667512690355302E-3</v>
      </c>
      <c r="H89" s="11">
        <f t="shared" si="6"/>
        <v>1.27</v>
      </c>
      <c r="I89" s="11">
        <v>3502.1</v>
      </c>
      <c r="J89" s="10" t="str">
        <f t="shared" si="8"/>
        <v>Excentricidad  maxima del 1.27%</v>
      </c>
    </row>
    <row r="90" spans="1:10" x14ac:dyDescent="0.25">
      <c r="A90" s="10" t="s">
        <v>157</v>
      </c>
      <c r="B90" s="13">
        <v>3538.4</v>
      </c>
      <c r="C90" s="13">
        <v>3573.4</v>
      </c>
      <c r="D90" s="13" t="str">
        <f t="shared" si="4"/>
        <v>I</v>
      </c>
      <c r="E90" s="14">
        <v>7.8054131054130999E-3</v>
      </c>
      <c r="F90" s="14">
        <v>1.1599999999999999E-2</v>
      </c>
      <c r="G90" s="18">
        <f t="shared" si="5"/>
        <v>7.8054131054130999E-3</v>
      </c>
      <c r="H90" s="11">
        <f t="shared" si="6"/>
        <v>1.1599999999999999</v>
      </c>
      <c r="I90" s="11">
        <v>3544.2</v>
      </c>
      <c r="J90" s="10" t="str">
        <f t="shared" si="8"/>
        <v>Excentricidad  maxima del 1.16%</v>
      </c>
    </row>
    <row r="91" spans="1:10" x14ac:dyDescent="0.25">
      <c r="A91" s="10" t="s">
        <v>158</v>
      </c>
      <c r="B91" s="13">
        <v>3575.6</v>
      </c>
      <c r="C91" s="13">
        <v>3613.5</v>
      </c>
      <c r="D91" s="13" t="str">
        <f t="shared" si="4"/>
        <v>III</v>
      </c>
      <c r="E91" s="14">
        <v>8.8726315789473698E-3</v>
      </c>
      <c r="F91" s="14">
        <v>0.15840000000000001</v>
      </c>
      <c r="G91" s="18">
        <f t="shared" si="5"/>
        <v>8.8726315789473698E-3</v>
      </c>
      <c r="H91" s="11">
        <f t="shared" si="6"/>
        <v>15.840000000000002</v>
      </c>
      <c r="I91" s="11">
        <v>3579.5</v>
      </c>
      <c r="J91" s="10" t="str">
        <f t="shared" si="8"/>
        <v>Excentricidad  maxima del 15.84%</v>
      </c>
    </row>
    <row r="92" spans="1:10" x14ac:dyDescent="0.25">
      <c r="A92" s="10" t="s">
        <v>159</v>
      </c>
      <c r="B92" s="13">
        <v>3615.7</v>
      </c>
      <c r="C92" s="13">
        <v>3652.3</v>
      </c>
      <c r="D92" s="13" t="str">
        <f t="shared" si="4"/>
        <v>I</v>
      </c>
      <c r="E92" s="14">
        <v>7.0730245231607498E-3</v>
      </c>
      <c r="F92" s="14">
        <v>1.3100000000000001E-2</v>
      </c>
      <c r="G92" s="18">
        <f t="shared" si="5"/>
        <v>7.0730245231607498E-3</v>
      </c>
      <c r="H92" s="11">
        <f t="shared" si="6"/>
        <v>1.31</v>
      </c>
      <c r="I92" s="11">
        <v>3650</v>
      </c>
      <c r="J92" s="10" t="str">
        <f t="shared" si="8"/>
        <v>Excentricidad  maxima del 1.31%</v>
      </c>
    </row>
    <row r="93" spans="1:10" x14ac:dyDescent="0.25">
      <c r="A93" s="10" t="s">
        <v>160</v>
      </c>
      <c r="B93" s="13">
        <v>3654.5</v>
      </c>
      <c r="C93" s="13">
        <v>3690.2</v>
      </c>
      <c r="D93" s="13" t="str">
        <f t="shared" si="4"/>
        <v>I</v>
      </c>
      <c r="E93" s="14">
        <v>7.8178770949720693E-3</v>
      </c>
      <c r="F93" s="14">
        <v>1.2200000000000001E-2</v>
      </c>
      <c r="G93" s="18">
        <f t="shared" si="5"/>
        <v>7.8178770949720693E-3</v>
      </c>
      <c r="H93" s="11">
        <f t="shared" si="6"/>
        <v>1.22</v>
      </c>
      <c r="I93" s="11">
        <v>3677.8</v>
      </c>
      <c r="J93" s="10" t="str">
        <f t="shared" si="8"/>
        <v>Excentricidad  maxima del 1.22%</v>
      </c>
    </row>
    <row r="94" spans="1:10" x14ac:dyDescent="0.25">
      <c r="A94" s="10" t="s">
        <v>161</v>
      </c>
      <c r="B94" s="13">
        <v>3692.4</v>
      </c>
      <c r="C94" s="13">
        <v>3728.6</v>
      </c>
      <c r="D94" s="13" t="str">
        <f t="shared" si="4"/>
        <v>I</v>
      </c>
      <c r="E94" s="14">
        <v>7.3319559228650103E-3</v>
      </c>
      <c r="F94" s="14">
        <v>1.14E-2</v>
      </c>
      <c r="G94" s="18">
        <f t="shared" si="5"/>
        <v>7.3319559228650103E-3</v>
      </c>
      <c r="H94" s="11">
        <f t="shared" si="6"/>
        <v>1.1400000000000001</v>
      </c>
      <c r="I94" s="11">
        <v>3727.2</v>
      </c>
      <c r="J94" s="10" t="str">
        <f t="shared" si="8"/>
        <v>Excentricidad  maxima del 1.14%</v>
      </c>
    </row>
    <row r="95" spans="1:10" x14ac:dyDescent="0.25">
      <c r="A95" s="10" t="s">
        <v>162</v>
      </c>
      <c r="B95" s="13">
        <v>3730.8</v>
      </c>
      <c r="C95" s="13">
        <v>3767.4</v>
      </c>
      <c r="D95" s="13" t="str">
        <f t="shared" si="4"/>
        <v>I</v>
      </c>
      <c r="E95" s="14">
        <v>8.0021798365122604E-3</v>
      </c>
      <c r="F95" s="14">
        <v>1.29E-2</v>
      </c>
      <c r="G95" s="18">
        <f t="shared" si="5"/>
        <v>8.0021798365122604E-3</v>
      </c>
      <c r="H95" s="11">
        <f t="shared" si="6"/>
        <v>1.29</v>
      </c>
      <c r="I95" s="11">
        <v>3750.6</v>
      </c>
      <c r="J95" s="10" t="str">
        <f t="shared" si="8"/>
        <v>Excentricidad  maxima del 1.29%</v>
      </c>
    </row>
    <row r="96" spans="1:10" x14ac:dyDescent="0.25">
      <c r="A96" s="10" t="s">
        <v>163</v>
      </c>
      <c r="B96" s="13">
        <v>3769.6</v>
      </c>
      <c r="C96" s="13">
        <v>3805.4</v>
      </c>
      <c r="D96" s="13" t="str">
        <f t="shared" si="4"/>
        <v>I</v>
      </c>
      <c r="E96" s="14">
        <v>7.1144846796657299E-3</v>
      </c>
      <c r="F96" s="14">
        <v>1.0699999999999999E-2</v>
      </c>
      <c r="G96" s="18">
        <f t="shared" si="5"/>
        <v>7.1144846796657299E-3</v>
      </c>
      <c r="H96" s="11">
        <f t="shared" si="6"/>
        <v>1.0699999999999998</v>
      </c>
      <c r="I96" s="11">
        <v>3795.5</v>
      </c>
      <c r="J96" s="10" t="str">
        <f t="shared" si="8"/>
        <v>Excentricidad  maxima del 1.07%</v>
      </c>
    </row>
    <row r="97" spans="1:10" x14ac:dyDescent="0.25">
      <c r="A97" s="10" t="s">
        <v>164</v>
      </c>
      <c r="B97" s="13">
        <v>3807.6</v>
      </c>
      <c r="C97" s="13">
        <v>3843.6</v>
      </c>
      <c r="D97" s="13" t="str">
        <f t="shared" si="4"/>
        <v>I</v>
      </c>
      <c r="E97" s="14">
        <v>8.2753462603878097E-3</v>
      </c>
      <c r="F97" s="14">
        <v>1.26E-2</v>
      </c>
      <c r="G97" s="18">
        <f t="shared" si="5"/>
        <v>8.2753462603878097E-3</v>
      </c>
      <c r="H97" s="11">
        <f t="shared" si="6"/>
        <v>1.26</v>
      </c>
      <c r="I97" s="11">
        <v>3838.7</v>
      </c>
      <c r="J97" s="10" t="str">
        <f t="shared" si="8"/>
        <v>Excentricidad  maxima del 1.26%</v>
      </c>
    </row>
    <row r="98" spans="1:10" x14ac:dyDescent="0.25">
      <c r="A98" s="10" t="s">
        <v>165</v>
      </c>
      <c r="B98" s="13">
        <v>3845.8</v>
      </c>
      <c r="C98" s="13">
        <v>3881.3</v>
      </c>
      <c r="D98" s="13" t="str">
        <f t="shared" si="4"/>
        <v>I</v>
      </c>
      <c r="E98" s="14">
        <v>7.4117977528089796E-3</v>
      </c>
      <c r="F98" s="14">
        <v>1.26E-2</v>
      </c>
      <c r="G98" s="18">
        <f t="shared" si="5"/>
        <v>7.4117977528089796E-3</v>
      </c>
      <c r="H98" s="11">
        <f t="shared" si="6"/>
        <v>1.26</v>
      </c>
      <c r="I98" s="11">
        <v>3848.2</v>
      </c>
      <c r="J98" s="10" t="str">
        <f t="shared" si="8"/>
        <v>Excentricidad  maxima del 1.26%</v>
      </c>
    </row>
    <row r="99" spans="1:10" x14ac:dyDescent="0.25">
      <c r="A99" s="10" t="s">
        <v>166</v>
      </c>
      <c r="B99" s="13">
        <v>3883.5</v>
      </c>
      <c r="C99" s="13">
        <v>3920.2</v>
      </c>
      <c r="D99" s="13" t="str">
        <f t="shared" si="4"/>
        <v>I</v>
      </c>
      <c r="E99" s="14">
        <v>7.5260869565217398E-3</v>
      </c>
      <c r="F99" s="14">
        <v>1.14E-2</v>
      </c>
      <c r="G99" s="18">
        <f t="shared" si="5"/>
        <v>7.5260869565217398E-3</v>
      </c>
      <c r="H99" s="11">
        <f t="shared" si="6"/>
        <v>1.1400000000000001</v>
      </c>
      <c r="I99" s="11">
        <v>3913.8</v>
      </c>
      <c r="J99" s="10" t="str">
        <f t="shared" si="8"/>
        <v>Excentricidad  maxima del 1.14%</v>
      </c>
    </row>
    <row r="100" spans="1:10" x14ac:dyDescent="0.25">
      <c r="A100" s="10" t="s">
        <v>167</v>
      </c>
      <c r="B100" s="13">
        <v>3922.4</v>
      </c>
      <c r="C100" s="13">
        <v>3957.6</v>
      </c>
      <c r="D100" s="13" t="str">
        <f t="shared" si="4"/>
        <v>I</v>
      </c>
      <c r="E100" s="14">
        <v>8.6895184135977292E-3</v>
      </c>
      <c r="F100" s="14">
        <v>1.4200000000000001E-2</v>
      </c>
      <c r="G100" s="18">
        <f t="shared" si="5"/>
        <v>8.6895184135977292E-3</v>
      </c>
      <c r="H100" s="11">
        <f t="shared" si="6"/>
        <v>1.4200000000000002</v>
      </c>
      <c r="I100" s="11">
        <v>3931.9</v>
      </c>
      <c r="J100" s="10" t="str">
        <f t="shared" si="8"/>
        <v>Excentricidad  maxima del 1.42%</v>
      </c>
    </row>
    <row r="101" spans="1:10" x14ac:dyDescent="0.25">
      <c r="A101" s="10" t="s">
        <v>168</v>
      </c>
      <c r="B101" s="13">
        <v>3959.8</v>
      </c>
      <c r="C101" s="13">
        <v>3996.7</v>
      </c>
      <c r="D101" s="13" t="str">
        <f t="shared" si="4"/>
        <v>I</v>
      </c>
      <c r="E101" s="14">
        <v>8.0140540540540508E-3</v>
      </c>
      <c r="F101" s="14">
        <v>1.3299999999999999E-2</v>
      </c>
      <c r="G101" s="18">
        <f t="shared" si="5"/>
        <v>8.0140540540540508E-3</v>
      </c>
      <c r="H101" s="11">
        <f t="shared" si="6"/>
        <v>1.3299999999999998</v>
      </c>
      <c r="I101" s="11">
        <v>3995.2</v>
      </c>
      <c r="J101" s="10" t="str">
        <f>"Excentricidad  maxima del "&amp;TEXT(F101,"0.00%")</f>
        <v>Excentricidad  maxima del 1.33%</v>
      </c>
    </row>
    <row r="102" spans="1:10" x14ac:dyDescent="0.25">
      <c r="A102" s="10" t="s">
        <v>169</v>
      </c>
      <c r="B102" s="13">
        <v>3998.9</v>
      </c>
      <c r="C102" s="13">
        <v>4034</v>
      </c>
      <c r="D102" s="13" t="str">
        <f t="shared" si="4"/>
        <v>I</v>
      </c>
      <c r="E102" s="14">
        <v>8.3284090909090894E-3</v>
      </c>
      <c r="F102" s="14">
        <v>1.32E-2</v>
      </c>
      <c r="G102" s="18">
        <f t="shared" si="5"/>
        <v>8.3284090909090894E-3</v>
      </c>
      <c r="H102" s="11">
        <f t="shared" si="6"/>
        <v>1.32</v>
      </c>
      <c r="I102" s="11">
        <v>4031.8</v>
      </c>
      <c r="J102" s="10" t="str">
        <f t="shared" ref="J102:J108" si="9">"Excentricidad  maxima del "&amp;TEXT(F102,"0.00%")</f>
        <v>Excentricidad  maxima del 1.32%</v>
      </c>
    </row>
    <row r="103" spans="1:10" x14ac:dyDescent="0.25">
      <c r="A103" s="10" t="s">
        <v>170</v>
      </c>
      <c r="B103" s="13">
        <v>4036.2</v>
      </c>
      <c r="C103" s="13">
        <v>4072</v>
      </c>
      <c r="D103" s="13" t="str">
        <f t="shared" si="4"/>
        <v>I</v>
      </c>
      <c r="E103" s="14">
        <v>7.7481894150417804E-3</v>
      </c>
      <c r="F103" s="14">
        <v>1.26E-2</v>
      </c>
      <c r="G103" s="18">
        <f t="shared" si="5"/>
        <v>7.7481894150417804E-3</v>
      </c>
      <c r="H103" s="11">
        <f t="shared" si="6"/>
        <v>1.26</v>
      </c>
      <c r="I103" s="11">
        <v>4057.5</v>
      </c>
      <c r="J103" s="10" t="str">
        <f t="shared" si="9"/>
        <v>Excentricidad  maxima del 1.26%</v>
      </c>
    </row>
    <row r="104" spans="1:10" x14ac:dyDescent="0.25">
      <c r="A104" s="10" t="s">
        <v>171</v>
      </c>
      <c r="B104" s="13">
        <v>4074.2</v>
      </c>
      <c r="C104" s="13">
        <v>4110.7</v>
      </c>
      <c r="D104" s="13" t="str">
        <f t="shared" si="4"/>
        <v>I</v>
      </c>
      <c r="E104" s="14">
        <v>8.0363387978142006E-3</v>
      </c>
      <c r="F104" s="14">
        <v>1.17E-2</v>
      </c>
      <c r="G104" s="18">
        <f t="shared" si="5"/>
        <v>8.0363387978142006E-3</v>
      </c>
      <c r="H104" s="11">
        <f t="shared" si="6"/>
        <v>1.17</v>
      </c>
      <c r="I104" s="11">
        <v>4085.8</v>
      </c>
      <c r="J104" s="10" t="str">
        <f t="shared" si="9"/>
        <v>Excentricidad  maxima del 1.17%</v>
      </c>
    </row>
    <row r="105" spans="1:10" x14ac:dyDescent="0.25">
      <c r="A105" s="10" t="s">
        <v>172</v>
      </c>
      <c r="B105" s="13">
        <v>4112.8999999999996</v>
      </c>
      <c r="C105" s="13">
        <v>4148.6000000000004</v>
      </c>
      <c r="D105" s="13" t="str">
        <f t="shared" si="4"/>
        <v>I</v>
      </c>
      <c r="E105" s="14">
        <v>7.6726256983240199E-3</v>
      </c>
      <c r="F105" s="14">
        <v>1.24E-2</v>
      </c>
      <c r="G105" s="18">
        <f t="shared" si="5"/>
        <v>7.6726256983240199E-3</v>
      </c>
      <c r="H105" s="11">
        <f t="shared" si="6"/>
        <v>1.24</v>
      </c>
      <c r="I105" s="11">
        <v>4114.7</v>
      </c>
      <c r="J105" s="10" t="str">
        <f t="shared" si="9"/>
        <v>Excentricidad  maxima del 1.24%</v>
      </c>
    </row>
    <row r="106" spans="1:10" x14ac:dyDescent="0.25">
      <c r="A106" s="10" t="s">
        <v>173</v>
      </c>
      <c r="B106" s="13">
        <v>4150.8</v>
      </c>
      <c r="C106" s="13">
        <v>4187.8</v>
      </c>
      <c r="D106" s="13" t="str">
        <f t="shared" si="4"/>
        <v>I</v>
      </c>
      <c r="E106" s="14">
        <v>7.9743935309972997E-3</v>
      </c>
      <c r="F106" s="14">
        <v>1.1900000000000001E-2</v>
      </c>
      <c r="G106" s="18">
        <f t="shared" si="5"/>
        <v>7.9743935309972997E-3</v>
      </c>
      <c r="H106" s="11">
        <f t="shared" si="6"/>
        <v>1.1900000000000002</v>
      </c>
      <c r="I106" s="11">
        <v>4181.2</v>
      </c>
      <c r="J106" s="10" t="str">
        <f t="shared" si="9"/>
        <v>Excentricidad  maxima del 1.19%</v>
      </c>
    </row>
    <row r="107" spans="1:10" x14ac:dyDescent="0.25">
      <c r="A107" s="10" t="s">
        <v>174</v>
      </c>
      <c r="B107" s="13">
        <v>4190</v>
      </c>
      <c r="C107" s="13">
        <v>4224.5</v>
      </c>
      <c r="D107" s="13" t="str">
        <f t="shared" si="4"/>
        <v>I</v>
      </c>
      <c r="E107" s="14">
        <v>8.0777456647398802E-3</v>
      </c>
      <c r="F107" s="14">
        <v>1.3100000000000001E-2</v>
      </c>
      <c r="G107" s="18">
        <f t="shared" si="5"/>
        <v>8.0777456647398802E-3</v>
      </c>
      <c r="H107" s="11">
        <f t="shared" si="6"/>
        <v>1.31</v>
      </c>
      <c r="I107" s="11">
        <v>4204.7</v>
      </c>
      <c r="J107" s="10" t="str">
        <f t="shared" si="9"/>
        <v>Excentricidad  maxima del 1.31%</v>
      </c>
    </row>
    <row r="108" spans="1:10" x14ac:dyDescent="0.25">
      <c r="A108" s="10" t="s">
        <v>175</v>
      </c>
      <c r="B108" s="13">
        <v>4226.7</v>
      </c>
      <c r="C108" s="13">
        <v>4263.8999999999996</v>
      </c>
      <c r="D108" s="13" t="str">
        <f t="shared" si="4"/>
        <v>I</v>
      </c>
      <c r="E108" s="14">
        <v>8.1694369973190194E-3</v>
      </c>
      <c r="F108" s="14">
        <v>1.2200000000000001E-2</v>
      </c>
      <c r="G108" s="18">
        <f t="shared" si="5"/>
        <v>8.1694369973190194E-3</v>
      </c>
      <c r="H108" s="11">
        <f t="shared" si="6"/>
        <v>1.22</v>
      </c>
      <c r="I108" s="11">
        <v>4263.2</v>
      </c>
      <c r="J108" s="10" t="str">
        <f t="shared" si="9"/>
        <v>Excentricidad  maxima del 1.22%</v>
      </c>
    </row>
    <row r="109" spans="1:10" x14ac:dyDescent="0.25">
      <c r="A109" s="10" t="s">
        <v>188</v>
      </c>
      <c r="B109" s="13">
        <v>4266.1000000000004</v>
      </c>
      <c r="C109" s="13">
        <v>4301.8</v>
      </c>
      <c r="D109" s="13" t="str">
        <f t="shared" si="4"/>
        <v>I</v>
      </c>
      <c r="E109" s="14">
        <v>7.7583798882681501E-3</v>
      </c>
      <c r="F109" s="14">
        <v>1.17E-2</v>
      </c>
      <c r="G109" s="18">
        <f t="shared" si="5"/>
        <v>7.7583798882681501E-3</v>
      </c>
      <c r="H109" s="11">
        <f t="shared" si="6"/>
        <v>1.17</v>
      </c>
      <c r="I109" s="11">
        <v>4285</v>
      </c>
      <c r="J109" s="10" t="str">
        <f t="shared" ref="J109:J132" si="10">"Excentricidad  maxima del "&amp;TEXT(F109,"0.00%")</f>
        <v>Excentricidad  maxima del 1.17%</v>
      </c>
    </row>
    <row r="110" spans="1:10" x14ac:dyDescent="0.25">
      <c r="A110" s="10" t="s">
        <v>189</v>
      </c>
      <c r="B110" s="13">
        <v>4304</v>
      </c>
      <c r="C110" s="13">
        <v>4339.8999999999996</v>
      </c>
      <c r="D110" s="13" t="str">
        <f t="shared" si="4"/>
        <v>I</v>
      </c>
      <c r="E110" s="14">
        <v>7.6024999999999999E-3</v>
      </c>
      <c r="F110" s="14">
        <v>1.18E-2</v>
      </c>
      <c r="G110" s="18">
        <f t="shared" si="5"/>
        <v>7.6024999999999999E-3</v>
      </c>
      <c r="H110" s="11">
        <f t="shared" si="6"/>
        <v>1.18</v>
      </c>
      <c r="I110" s="11">
        <v>4327.1000000000004</v>
      </c>
      <c r="J110" s="10" t="str">
        <f t="shared" si="10"/>
        <v>Excentricidad  maxima del 1.18%</v>
      </c>
    </row>
    <row r="111" spans="1:10" x14ac:dyDescent="0.25">
      <c r="A111" s="10" t="s">
        <v>190</v>
      </c>
      <c r="B111" s="13">
        <v>4342.1000000000004</v>
      </c>
      <c r="C111" s="13">
        <v>4378</v>
      </c>
      <c r="D111" s="13" t="str">
        <f t="shared" si="4"/>
        <v>I</v>
      </c>
      <c r="E111" s="14">
        <v>8.2327777777777694E-3</v>
      </c>
      <c r="F111" s="14">
        <v>1.2699999999999999E-2</v>
      </c>
      <c r="G111" s="18">
        <f t="shared" si="5"/>
        <v>8.2327777777777694E-3</v>
      </c>
      <c r="H111" s="11">
        <f t="shared" si="6"/>
        <v>1.27</v>
      </c>
      <c r="I111" s="11">
        <v>4369.5</v>
      </c>
      <c r="J111" s="10" t="str">
        <f t="shared" si="10"/>
        <v>Excentricidad  maxima del 1.27%</v>
      </c>
    </row>
    <row r="112" spans="1:10" x14ac:dyDescent="0.25">
      <c r="A112" s="10" t="s">
        <v>191</v>
      </c>
      <c r="B112" s="13">
        <v>4380.2</v>
      </c>
      <c r="C112" s="13">
        <v>4416.6000000000004</v>
      </c>
      <c r="D112" s="13" t="str">
        <f t="shared" si="4"/>
        <v>I</v>
      </c>
      <c r="E112" s="14">
        <v>7.43999999999999E-3</v>
      </c>
      <c r="F112" s="14">
        <v>1.32E-2</v>
      </c>
      <c r="G112" s="18">
        <f t="shared" si="5"/>
        <v>7.43999999999999E-3</v>
      </c>
      <c r="H112" s="11">
        <f t="shared" si="6"/>
        <v>1.32</v>
      </c>
      <c r="I112" s="11">
        <v>4416.2</v>
      </c>
      <c r="J112" s="10" t="str">
        <f t="shared" si="10"/>
        <v>Excentricidad  maxima del 1.32%</v>
      </c>
    </row>
    <row r="113" spans="1:10" x14ac:dyDescent="0.25">
      <c r="A113" s="10" t="s">
        <v>192</v>
      </c>
      <c r="B113" s="13">
        <v>4418.8</v>
      </c>
      <c r="C113" s="13">
        <v>4454</v>
      </c>
      <c r="D113" s="13" t="str">
        <f t="shared" si="4"/>
        <v>I</v>
      </c>
      <c r="E113" s="14">
        <v>8.4623229461756409E-3</v>
      </c>
      <c r="F113" s="14">
        <v>1.2200000000000001E-2</v>
      </c>
      <c r="G113" s="18">
        <f t="shared" si="5"/>
        <v>8.4623229461756409E-3</v>
      </c>
      <c r="H113" s="11">
        <f t="shared" si="6"/>
        <v>1.22</v>
      </c>
      <c r="I113" s="11">
        <v>4448.3</v>
      </c>
      <c r="J113" s="10" t="str">
        <f t="shared" si="10"/>
        <v>Excentricidad  maxima del 1.22%</v>
      </c>
    </row>
    <row r="114" spans="1:10" x14ac:dyDescent="0.25">
      <c r="A114" s="10" t="s">
        <v>193</v>
      </c>
      <c r="B114" s="13">
        <v>4456.2</v>
      </c>
      <c r="C114" s="13">
        <v>4492.8999999999996</v>
      </c>
      <c r="D114" s="13" t="str">
        <f t="shared" si="4"/>
        <v>I</v>
      </c>
      <c r="E114" s="14">
        <v>7.3630434782608603E-3</v>
      </c>
      <c r="F114" s="14">
        <v>1.12E-2</v>
      </c>
      <c r="G114" s="18">
        <f t="shared" si="5"/>
        <v>7.3630434782608603E-3</v>
      </c>
      <c r="H114" s="11">
        <f t="shared" si="6"/>
        <v>1.1199999999999999</v>
      </c>
      <c r="I114" s="11">
        <v>4477.5</v>
      </c>
      <c r="J114" s="10" t="str">
        <f t="shared" si="10"/>
        <v>Excentricidad  maxima del 1.12%</v>
      </c>
    </row>
    <row r="115" spans="1:10" x14ac:dyDescent="0.25">
      <c r="A115" s="10" t="s">
        <v>194</v>
      </c>
      <c r="B115" s="13">
        <v>4495.1000000000004</v>
      </c>
      <c r="C115" s="13">
        <v>4530.8</v>
      </c>
      <c r="D115" s="13" t="str">
        <f t="shared" si="4"/>
        <v>I</v>
      </c>
      <c r="E115" s="14">
        <v>8.2047486033519496E-3</v>
      </c>
      <c r="F115" s="14">
        <v>1.26E-2</v>
      </c>
      <c r="G115" s="18">
        <f t="shared" si="5"/>
        <v>8.2047486033519496E-3</v>
      </c>
      <c r="H115" s="11">
        <f t="shared" si="6"/>
        <v>1.26</v>
      </c>
      <c r="I115" s="11">
        <v>4518.7</v>
      </c>
      <c r="J115" s="10" t="str">
        <f t="shared" si="10"/>
        <v>Excentricidad  maxima del 1.26%</v>
      </c>
    </row>
    <row r="116" spans="1:10" x14ac:dyDescent="0.25">
      <c r="A116" s="10" t="s">
        <v>195</v>
      </c>
      <c r="B116" s="13">
        <v>4533</v>
      </c>
      <c r="C116" s="13">
        <v>4567.5</v>
      </c>
      <c r="D116" s="13" t="str">
        <f t="shared" si="4"/>
        <v>I</v>
      </c>
      <c r="E116" s="14">
        <v>8.0387283236994199E-3</v>
      </c>
      <c r="F116" s="14">
        <v>1.32E-2</v>
      </c>
      <c r="G116" s="18">
        <f t="shared" si="5"/>
        <v>8.0387283236994199E-3</v>
      </c>
      <c r="H116" s="11">
        <f t="shared" si="6"/>
        <v>1.32</v>
      </c>
      <c r="I116" s="11">
        <v>4537.3</v>
      </c>
      <c r="J116" s="10" t="str">
        <f t="shared" si="10"/>
        <v>Excentricidad  maxima del 1.32%</v>
      </c>
    </row>
    <row r="117" spans="1:10" x14ac:dyDescent="0.25">
      <c r="A117" s="10" t="s">
        <v>196</v>
      </c>
      <c r="B117" s="13">
        <v>4569.7</v>
      </c>
      <c r="C117" s="13">
        <v>4605</v>
      </c>
      <c r="D117" s="13" t="str">
        <f t="shared" si="4"/>
        <v>I</v>
      </c>
      <c r="E117" s="14">
        <v>8.0790960451977301E-3</v>
      </c>
      <c r="F117" s="14">
        <v>1.3299999999999999E-2</v>
      </c>
      <c r="G117" s="18">
        <f t="shared" si="5"/>
        <v>8.0790960451977301E-3</v>
      </c>
      <c r="H117" s="11">
        <f t="shared" si="6"/>
        <v>1.3299999999999998</v>
      </c>
      <c r="I117" s="11">
        <v>4586</v>
      </c>
      <c r="J117" s="10" t="str">
        <f t="shared" si="10"/>
        <v>Excentricidad  maxima del 1.33%</v>
      </c>
    </row>
    <row r="118" spans="1:10" x14ac:dyDescent="0.25">
      <c r="A118" s="10" t="s">
        <v>197</v>
      </c>
      <c r="B118" s="13">
        <v>4607.2</v>
      </c>
      <c r="C118" s="13">
        <v>4643.3</v>
      </c>
      <c r="D118" s="13" t="str">
        <f t="shared" si="4"/>
        <v>I</v>
      </c>
      <c r="E118" s="14">
        <v>7.7676795580110501E-3</v>
      </c>
      <c r="F118" s="14">
        <v>1.0999999999999999E-2</v>
      </c>
      <c r="G118" s="18">
        <f t="shared" si="5"/>
        <v>7.7676795580110501E-3</v>
      </c>
      <c r="H118" s="11">
        <f t="shared" si="6"/>
        <v>1.0999999999999999</v>
      </c>
      <c r="I118" s="11">
        <v>4622.6000000000004</v>
      </c>
      <c r="J118" s="10" t="str">
        <f t="shared" si="10"/>
        <v>Excentricidad  maxima del 1.10%</v>
      </c>
    </row>
    <row r="119" spans="1:10" x14ac:dyDescent="0.25">
      <c r="A119" s="10" t="s">
        <v>198</v>
      </c>
      <c r="B119" s="13">
        <v>4645.5</v>
      </c>
      <c r="C119" s="13">
        <v>4682</v>
      </c>
      <c r="D119" s="13" t="str">
        <f t="shared" si="4"/>
        <v>I</v>
      </c>
      <c r="E119" s="14">
        <v>7.9131147540983503E-3</v>
      </c>
      <c r="F119" s="14">
        <v>1.32E-2</v>
      </c>
      <c r="G119" s="18">
        <f t="shared" si="5"/>
        <v>7.9131147540983503E-3</v>
      </c>
      <c r="H119" s="11">
        <f t="shared" si="6"/>
        <v>1.32</v>
      </c>
      <c r="I119" s="11">
        <v>4664.2</v>
      </c>
      <c r="J119" s="10" t="str">
        <f t="shared" si="10"/>
        <v>Excentricidad  maxima del 1.32%</v>
      </c>
    </row>
    <row r="120" spans="1:10" x14ac:dyDescent="0.25">
      <c r="A120" s="10" t="s">
        <v>199</v>
      </c>
      <c r="B120" s="13">
        <v>4684.2</v>
      </c>
      <c r="C120" s="13">
        <v>4719.3</v>
      </c>
      <c r="D120" s="13" t="str">
        <f t="shared" si="4"/>
        <v>I</v>
      </c>
      <c r="E120" s="14">
        <v>8.2761363636363605E-3</v>
      </c>
      <c r="F120" s="14">
        <v>1.2E-2</v>
      </c>
      <c r="G120" s="18">
        <f t="shared" si="5"/>
        <v>8.2761363636363605E-3</v>
      </c>
      <c r="H120" s="11">
        <f t="shared" si="6"/>
        <v>1.2</v>
      </c>
      <c r="I120" s="11">
        <v>4708.7</v>
      </c>
      <c r="J120" s="10" t="str">
        <f t="shared" si="10"/>
        <v>Excentricidad  maxima del 1.20%</v>
      </c>
    </row>
    <row r="121" spans="1:10" x14ac:dyDescent="0.25">
      <c r="A121" s="10" t="s">
        <v>200</v>
      </c>
      <c r="B121" s="13">
        <v>4721.5</v>
      </c>
      <c r="C121" s="13">
        <v>4757.7</v>
      </c>
      <c r="D121" s="13" t="str">
        <f t="shared" si="4"/>
        <v>I</v>
      </c>
      <c r="E121" s="14">
        <v>7.95371900826446E-3</v>
      </c>
      <c r="F121" s="14">
        <v>1.37E-2</v>
      </c>
      <c r="G121" s="18">
        <f t="shared" si="5"/>
        <v>7.95371900826446E-3</v>
      </c>
      <c r="H121" s="11">
        <f t="shared" si="6"/>
        <v>1.37</v>
      </c>
      <c r="I121" s="11">
        <v>4737.1000000000004</v>
      </c>
      <c r="J121" s="10" t="str">
        <f t="shared" si="10"/>
        <v>Excentricidad  maxima del 1.37%</v>
      </c>
    </row>
    <row r="122" spans="1:10" x14ac:dyDescent="0.25">
      <c r="A122" s="10" t="s">
        <v>201</v>
      </c>
      <c r="B122" s="13">
        <v>4759.8999999999996</v>
      </c>
      <c r="C122" s="13">
        <v>4795.8999999999996</v>
      </c>
      <c r="D122" s="13" t="str">
        <f t="shared" si="4"/>
        <v>I</v>
      </c>
      <c r="E122" s="14">
        <v>7.2869806094182799E-3</v>
      </c>
      <c r="F122" s="14">
        <v>1.09E-2</v>
      </c>
      <c r="G122" s="18">
        <f t="shared" si="5"/>
        <v>7.2869806094182799E-3</v>
      </c>
      <c r="H122" s="11">
        <f t="shared" si="6"/>
        <v>1.0900000000000001</v>
      </c>
      <c r="I122" s="11">
        <v>4779.1000000000004</v>
      </c>
      <c r="J122" s="10" t="str">
        <f t="shared" si="10"/>
        <v>Excentricidad  maxima del 1.09%</v>
      </c>
    </row>
    <row r="123" spans="1:10" x14ac:dyDescent="0.25">
      <c r="A123" s="10" t="s">
        <v>202</v>
      </c>
      <c r="B123" s="13">
        <v>4798.1000000000004</v>
      </c>
      <c r="C123" s="13">
        <v>4833.8</v>
      </c>
      <c r="D123" s="13" t="str">
        <f t="shared" si="4"/>
        <v>I</v>
      </c>
      <c r="E123" s="14">
        <v>8.0656424581005502E-3</v>
      </c>
      <c r="F123" s="14">
        <v>1.35E-2</v>
      </c>
      <c r="G123" s="18">
        <f t="shared" si="5"/>
        <v>8.0656424581005502E-3</v>
      </c>
      <c r="H123" s="11">
        <f t="shared" si="6"/>
        <v>1.35</v>
      </c>
      <c r="I123" s="11">
        <v>4820.5</v>
      </c>
      <c r="J123" s="10" t="str">
        <f t="shared" si="10"/>
        <v>Excentricidad  maxima del 1.35%</v>
      </c>
    </row>
    <row r="124" spans="1:10" x14ac:dyDescent="0.25">
      <c r="A124" s="10" t="s">
        <v>203</v>
      </c>
      <c r="B124" s="13">
        <v>4836</v>
      </c>
      <c r="C124" s="13">
        <v>4871.6000000000004</v>
      </c>
      <c r="D124" s="13" t="str">
        <f t="shared" si="4"/>
        <v>I</v>
      </c>
      <c r="E124" s="14">
        <v>8.1543417366946799E-3</v>
      </c>
      <c r="F124" s="14">
        <v>1.2999999999999999E-2</v>
      </c>
      <c r="G124" s="18">
        <f t="shared" si="5"/>
        <v>8.1543417366946799E-3</v>
      </c>
      <c r="H124" s="11">
        <f t="shared" si="6"/>
        <v>1.3</v>
      </c>
      <c r="I124" s="11">
        <v>4842.5</v>
      </c>
      <c r="J124" s="10" t="str">
        <f t="shared" si="10"/>
        <v>Excentricidad  maxima del 1.30%</v>
      </c>
    </row>
    <row r="125" spans="1:10" x14ac:dyDescent="0.25">
      <c r="A125" s="10" t="s">
        <v>204</v>
      </c>
      <c r="B125" s="13">
        <v>4873.8</v>
      </c>
      <c r="C125" s="13">
        <v>4908.1000000000004</v>
      </c>
      <c r="D125" s="13" t="str">
        <f t="shared" si="4"/>
        <v>I</v>
      </c>
      <c r="E125" s="14">
        <v>8.5055232558139508E-3</v>
      </c>
      <c r="F125" s="14">
        <v>1.54E-2</v>
      </c>
      <c r="G125" s="18">
        <f t="shared" si="5"/>
        <v>8.5055232558139508E-3</v>
      </c>
      <c r="H125" s="11">
        <f t="shared" si="6"/>
        <v>1.54</v>
      </c>
      <c r="I125" s="11">
        <v>4906.8</v>
      </c>
      <c r="J125" s="10" t="str">
        <f t="shared" si="10"/>
        <v>Excentricidad  maxima del 1.54%</v>
      </c>
    </row>
    <row r="126" spans="1:10" x14ac:dyDescent="0.25">
      <c r="A126" s="10" t="s">
        <v>205</v>
      </c>
      <c r="B126" s="13">
        <v>4910.3</v>
      </c>
      <c r="C126" s="13">
        <v>4946.6000000000004</v>
      </c>
      <c r="D126" s="13" t="str">
        <f t="shared" si="4"/>
        <v>I</v>
      </c>
      <c r="E126" s="14">
        <v>7.5225274725274696E-3</v>
      </c>
      <c r="F126" s="14">
        <v>1.14E-2</v>
      </c>
      <c r="G126" s="18">
        <f t="shared" si="5"/>
        <v>7.5225274725274696E-3</v>
      </c>
      <c r="H126" s="11">
        <f t="shared" si="6"/>
        <v>1.1400000000000001</v>
      </c>
      <c r="I126" s="11">
        <v>4937.5</v>
      </c>
      <c r="J126" s="10" t="str">
        <f t="shared" si="10"/>
        <v>Excentricidad  maxima del 1.14%</v>
      </c>
    </row>
    <row r="127" spans="1:10" x14ac:dyDescent="0.25">
      <c r="A127" s="10" t="s">
        <v>206</v>
      </c>
      <c r="B127" s="13">
        <v>4948.8</v>
      </c>
      <c r="C127" s="13">
        <v>4985.1000000000004</v>
      </c>
      <c r="D127" s="13" t="str">
        <f t="shared" si="4"/>
        <v>I</v>
      </c>
      <c r="E127" s="14">
        <v>7.9288461538461492E-3</v>
      </c>
      <c r="F127" s="14">
        <v>1.26E-2</v>
      </c>
      <c r="G127" s="18">
        <f t="shared" si="5"/>
        <v>7.9288461538461492E-3</v>
      </c>
      <c r="H127" s="11">
        <f t="shared" si="6"/>
        <v>1.26</v>
      </c>
      <c r="I127" s="11">
        <v>4974.1000000000004</v>
      </c>
      <c r="J127" s="10" t="str">
        <f t="shared" si="10"/>
        <v>Excentricidad  maxima del 1.26%</v>
      </c>
    </row>
    <row r="128" spans="1:10" x14ac:dyDescent="0.25">
      <c r="A128" s="10" t="s">
        <v>207</v>
      </c>
      <c r="B128" s="13">
        <v>4987.3</v>
      </c>
      <c r="C128" s="13">
        <v>5023.3</v>
      </c>
      <c r="D128" s="13" t="str">
        <f t="shared" si="4"/>
        <v>I</v>
      </c>
      <c r="E128" s="14">
        <v>8.0642659279778397E-3</v>
      </c>
      <c r="F128" s="14">
        <v>1.24E-2</v>
      </c>
      <c r="G128" s="18">
        <f t="shared" si="5"/>
        <v>8.0642659279778397E-3</v>
      </c>
      <c r="H128" s="11">
        <f t="shared" si="6"/>
        <v>1.24</v>
      </c>
      <c r="I128" s="11">
        <v>5000.8</v>
      </c>
      <c r="J128" s="10" t="str">
        <f t="shared" si="10"/>
        <v>Excentricidad  maxima del 1.24%</v>
      </c>
    </row>
    <row r="129" spans="1:10" x14ac:dyDescent="0.25">
      <c r="A129" s="10" t="s">
        <v>208</v>
      </c>
      <c r="B129" s="13">
        <v>5025.5</v>
      </c>
      <c r="C129" s="13">
        <v>5061.6000000000004</v>
      </c>
      <c r="D129" s="13" t="str">
        <f t="shared" si="4"/>
        <v>I</v>
      </c>
      <c r="E129" s="14">
        <v>8.1041436464088408E-3</v>
      </c>
      <c r="F129" s="14">
        <v>1.2200000000000001E-2</v>
      </c>
      <c r="G129" s="18">
        <f t="shared" si="5"/>
        <v>8.1041436464088408E-3</v>
      </c>
      <c r="H129" s="11">
        <f t="shared" si="6"/>
        <v>1.22</v>
      </c>
      <c r="I129" s="11">
        <v>5028.2</v>
      </c>
      <c r="J129" s="10" t="str">
        <f t="shared" si="10"/>
        <v>Excentricidad  maxima del 1.22%</v>
      </c>
    </row>
    <row r="130" spans="1:10" x14ac:dyDescent="0.25">
      <c r="A130" s="10" t="s">
        <v>209</v>
      </c>
      <c r="B130" s="13">
        <v>5063.8</v>
      </c>
      <c r="C130" s="13">
        <v>5099.3</v>
      </c>
      <c r="D130" s="13" t="str">
        <f t="shared" si="4"/>
        <v>I</v>
      </c>
      <c r="E130" s="14">
        <v>8.1002808988764E-3</v>
      </c>
      <c r="F130" s="14">
        <v>1.2E-2</v>
      </c>
      <c r="G130" s="18">
        <f t="shared" si="5"/>
        <v>8.1002808988764E-3</v>
      </c>
      <c r="H130" s="11">
        <f t="shared" si="6"/>
        <v>1.2</v>
      </c>
      <c r="I130" s="11">
        <v>5065</v>
      </c>
      <c r="J130" s="10" t="str">
        <f t="shared" si="10"/>
        <v>Excentricidad  maxima del 1.20%</v>
      </c>
    </row>
    <row r="131" spans="1:10" x14ac:dyDescent="0.25">
      <c r="A131" s="10" t="s">
        <v>210</v>
      </c>
      <c r="B131" s="13">
        <v>5101.5</v>
      </c>
      <c r="C131" s="13">
        <v>5137.8999999999996</v>
      </c>
      <c r="D131" s="13" t="str">
        <f t="shared" ref="D131:D153" si="11">IF((F131)&lt;2%,"I",IF((F131)&lt;5%,"II","III"))</f>
        <v>I</v>
      </c>
      <c r="E131" s="14">
        <v>7.8964383561643797E-3</v>
      </c>
      <c r="F131" s="14">
        <v>1.14E-2</v>
      </c>
      <c r="G131" s="18">
        <f t="shared" ref="G131:G194" si="12">E131</f>
        <v>7.8964383561643797E-3</v>
      </c>
      <c r="H131" s="11">
        <f t="shared" ref="H131:H153" si="13">F131*100</f>
        <v>1.1400000000000001</v>
      </c>
      <c r="I131" s="11">
        <v>5109.7</v>
      </c>
      <c r="J131" s="10" t="str">
        <f t="shared" si="10"/>
        <v>Excentricidad  maxima del 1.14%</v>
      </c>
    </row>
    <row r="132" spans="1:10" x14ac:dyDescent="0.25">
      <c r="A132" s="10" t="s">
        <v>211</v>
      </c>
      <c r="B132" s="13">
        <v>5140.1000000000004</v>
      </c>
      <c r="C132" s="13">
        <v>5176.3999999999996</v>
      </c>
      <c r="D132" s="13" t="str">
        <f t="shared" si="11"/>
        <v>I</v>
      </c>
      <c r="E132" s="14">
        <v>8.0615384615384603E-3</v>
      </c>
      <c r="F132" s="14">
        <v>1.21E-2</v>
      </c>
      <c r="G132" s="18">
        <f t="shared" si="12"/>
        <v>8.0615384615384603E-3</v>
      </c>
      <c r="H132" s="11">
        <f t="shared" si="13"/>
        <v>1.21</v>
      </c>
      <c r="I132" s="11">
        <v>5146.6000000000004</v>
      </c>
      <c r="J132" s="10" t="str">
        <f t="shared" si="10"/>
        <v>Excentricidad  maxima del 1.21%</v>
      </c>
    </row>
    <row r="133" spans="1:10" x14ac:dyDescent="0.25">
      <c r="A133" s="10" t="s">
        <v>212</v>
      </c>
      <c r="B133" s="13">
        <v>5178.6000000000004</v>
      </c>
      <c r="C133" s="13">
        <v>5214.5</v>
      </c>
      <c r="D133" s="13" t="str">
        <f t="shared" si="11"/>
        <v>I</v>
      </c>
      <c r="E133" s="14">
        <v>8.1174999999999893E-3</v>
      </c>
      <c r="F133" s="14">
        <v>1.14E-2</v>
      </c>
      <c r="G133" s="18">
        <f t="shared" si="12"/>
        <v>8.1174999999999893E-3</v>
      </c>
      <c r="H133" s="11">
        <f t="shared" si="13"/>
        <v>1.1400000000000001</v>
      </c>
      <c r="I133" s="11">
        <v>5196.8999999999996</v>
      </c>
      <c r="J133" s="10" t="str">
        <f t="shared" ref="J133:J153" si="14">"Excentricidad  maxima del "&amp;TEXT(F133,"0.00%")</f>
        <v>Excentricidad  maxima del 1.14%</v>
      </c>
    </row>
    <row r="134" spans="1:10" x14ac:dyDescent="0.25">
      <c r="A134" s="10" t="s">
        <v>213</v>
      </c>
      <c r="B134" s="13">
        <v>5216.7</v>
      </c>
      <c r="C134" s="13">
        <v>5252.8</v>
      </c>
      <c r="D134" s="13" t="str">
        <f t="shared" si="11"/>
        <v>I</v>
      </c>
      <c r="E134" s="14">
        <v>8.2530386740331495E-3</v>
      </c>
      <c r="F134" s="14">
        <v>1.2500000000000001E-2</v>
      </c>
      <c r="G134" s="18">
        <f t="shared" si="12"/>
        <v>8.2530386740331495E-3</v>
      </c>
      <c r="H134" s="11">
        <f t="shared" si="13"/>
        <v>1.25</v>
      </c>
      <c r="I134" s="11">
        <v>5233.6000000000004</v>
      </c>
      <c r="J134" s="10" t="str">
        <f t="shared" si="14"/>
        <v>Excentricidad  maxima del 1.25%</v>
      </c>
    </row>
    <row r="135" spans="1:10" x14ac:dyDescent="0.25">
      <c r="A135" s="10" t="s">
        <v>214</v>
      </c>
      <c r="B135" s="13">
        <v>5255</v>
      </c>
      <c r="C135" s="13">
        <v>5290.9</v>
      </c>
      <c r="D135" s="13" t="str">
        <f t="shared" si="11"/>
        <v>I</v>
      </c>
      <c r="E135" s="14">
        <v>7.8477777777777799E-3</v>
      </c>
      <c r="F135" s="14">
        <v>1.23E-2</v>
      </c>
      <c r="G135" s="18">
        <f t="shared" si="12"/>
        <v>7.8477777777777799E-3</v>
      </c>
      <c r="H135" s="11">
        <f t="shared" si="13"/>
        <v>1.23</v>
      </c>
      <c r="I135" s="11">
        <v>5287.2</v>
      </c>
      <c r="J135" s="10" t="str">
        <f t="shared" si="14"/>
        <v>Excentricidad  maxima del 1.23%</v>
      </c>
    </row>
    <row r="136" spans="1:10" x14ac:dyDescent="0.25">
      <c r="A136" s="10" t="s">
        <v>215</v>
      </c>
      <c r="B136" s="13">
        <v>5293.1</v>
      </c>
      <c r="C136" s="13">
        <v>5329.7</v>
      </c>
      <c r="D136" s="13" t="str">
        <f t="shared" si="11"/>
        <v>I</v>
      </c>
      <c r="E136" s="14">
        <v>8.1125340599454993E-3</v>
      </c>
      <c r="F136" s="14">
        <v>1.24E-2</v>
      </c>
      <c r="G136" s="18">
        <f t="shared" si="12"/>
        <v>8.1125340599454993E-3</v>
      </c>
      <c r="H136" s="11">
        <f t="shared" si="13"/>
        <v>1.24</v>
      </c>
      <c r="I136" s="11">
        <v>5323.3</v>
      </c>
      <c r="J136" s="10" t="str">
        <f t="shared" si="14"/>
        <v>Excentricidad  maxima del 1.24%</v>
      </c>
    </row>
    <row r="137" spans="1:10" x14ac:dyDescent="0.25">
      <c r="A137" s="10" t="s">
        <v>216</v>
      </c>
      <c r="B137" s="13">
        <v>5331.9</v>
      </c>
      <c r="C137" s="13">
        <v>5367.9</v>
      </c>
      <c r="D137" s="13" t="str">
        <f t="shared" si="11"/>
        <v>I</v>
      </c>
      <c r="E137" s="14">
        <v>7.8465373961218807E-3</v>
      </c>
      <c r="F137" s="14">
        <v>1.24E-2</v>
      </c>
      <c r="G137" s="18">
        <f t="shared" si="12"/>
        <v>7.8465373961218807E-3</v>
      </c>
      <c r="H137" s="11">
        <f t="shared" si="13"/>
        <v>1.24</v>
      </c>
      <c r="I137" s="11">
        <v>5336.5</v>
      </c>
      <c r="J137" s="10" t="str">
        <f t="shared" si="14"/>
        <v>Excentricidad  maxima del 1.24%</v>
      </c>
    </row>
    <row r="138" spans="1:10" x14ac:dyDescent="0.25">
      <c r="A138" s="10" t="s">
        <v>217</v>
      </c>
      <c r="B138" s="13">
        <v>5370.1</v>
      </c>
      <c r="C138" s="13">
        <v>5406</v>
      </c>
      <c r="D138" s="13" t="str">
        <f t="shared" si="11"/>
        <v>I</v>
      </c>
      <c r="E138" s="14">
        <v>8.5244444444444404E-3</v>
      </c>
      <c r="F138" s="14">
        <v>1.1900000000000001E-2</v>
      </c>
      <c r="G138" s="18">
        <f t="shared" si="12"/>
        <v>8.5244444444444404E-3</v>
      </c>
      <c r="H138" s="11">
        <f t="shared" si="13"/>
        <v>1.1900000000000002</v>
      </c>
      <c r="I138" s="11">
        <v>5380.6</v>
      </c>
      <c r="J138" s="10" t="str">
        <f t="shared" si="14"/>
        <v>Excentricidad  maxima del 1.19%</v>
      </c>
    </row>
    <row r="139" spans="1:10" x14ac:dyDescent="0.25">
      <c r="A139" s="10" t="s">
        <v>218</v>
      </c>
      <c r="B139" s="13">
        <v>5408.2</v>
      </c>
      <c r="C139" s="13">
        <v>5444.3</v>
      </c>
      <c r="D139" s="13" t="str">
        <f t="shared" si="11"/>
        <v>I</v>
      </c>
      <c r="E139" s="14">
        <v>8.7290055248618794E-3</v>
      </c>
      <c r="F139" s="14">
        <v>1.26E-2</v>
      </c>
      <c r="G139" s="18">
        <f t="shared" si="12"/>
        <v>8.7290055248618794E-3</v>
      </c>
      <c r="H139" s="11">
        <f t="shared" si="13"/>
        <v>1.26</v>
      </c>
      <c r="I139" s="11">
        <v>5422.7</v>
      </c>
      <c r="J139" s="10" t="str">
        <f t="shared" si="14"/>
        <v>Excentricidad  maxima del 1.26%</v>
      </c>
    </row>
    <row r="140" spans="1:10" x14ac:dyDescent="0.25">
      <c r="A140" s="10" t="s">
        <v>219</v>
      </c>
      <c r="B140" s="13">
        <v>5446.5</v>
      </c>
      <c r="C140" s="13">
        <v>5482</v>
      </c>
      <c r="D140" s="13" t="str">
        <f t="shared" si="11"/>
        <v>I</v>
      </c>
      <c r="E140" s="14">
        <v>8.7623595505618001E-3</v>
      </c>
      <c r="F140" s="14">
        <v>1.2E-2</v>
      </c>
      <c r="G140" s="18">
        <f t="shared" si="12"/>
        <v>8.7623595505618001E-3</v>
      </c>
      <c r="H140" s="11">
        <f t="shared" si="13"/>
        <v>1.2</v>
      </c>
      <c r="I140" s="11">
        <v>5458.5</v>
      </c>
      <c r="J140" s="10" t="str">
        <f t="shared" si="14"/>
        <v>Excentricidad  maxima del 1.20%</v>
      </c>
    </row>
    <row r="141" spans="1:10" x14ac:dyDescent="0.25">
      <c r="A141" s="10" t="s">
        <v>220</v>
      </c>
      <c r="B141" s="13">
        <v>5484.2</v>
      </c>
      <c r="C141" s="13">
        <v>5519.8</v>
      </c>
      <c r="D141" s="13" t="str">
        <f t="shared" si="11"/>
        <v>I</v>
      </c>
      <c r="E141" s="14">
        <v>9.4112044817927093E-3</v>
      </c>
      <c r="F141" s="14">
        <v>1.46E-2</v>
      </c>
      <c r="G141" s="18">
        <f t="shared" si="12"/>
        <v>9.4112044817927093E-3</v>
      </c>
      <c r="H141" s="11">
        <f t="shared" si="13"/>
        <v>1.46</v>
      </c>
      <c r="I141" s="11">
        <v>5514.9</v>
      </c>
      <c r="J141" s="10" t="str">
        <f t="shared" si="14"/>
        <v>Excentricidad  maxima del 1.46%</v>
      </c>
    </row>
    <row r="142" spans="1:10" x14ac:dyDescent="0.25">
      <c r="A142" s="10" t="s">
        <v>221</v>
      </c>
      <c r="B142" s="13">
        <v>5522</v>
      </c>
      <c r="C142" s="13">
        <v>5558.4</v>
      </c>
      <c r="D142" s="13" t="str">
        <f t="shared" si="11"/>
        <v>I</v>
      </c>
      <c r="E142" s="14">
        <v>7.6460273972602704E-3</v>
      </c>
      <c r="F142" s="14">
        <v>1.1900000000000001E-2</v>
      </c>
      <c r="G142" s="18">
        <f t="shared" si="12"/>
        <v>7.6460273972602704E-3</v>
      </c>
      <c r="H142" s="11">
        <f t="shared" si="13"/>
        <v>1.1900000000000002</v>
      </c>
      <c r="I142" s="11">
        <v>5526.1</v>
      </c>
      <c r="J142" s="10" t="str">
        <f t="shared" si="14"/>
        <v>Excentricidad  maxima del 1.19%</v>
      </c>
    </row>
    <row r="143" spans="1:10" x14ac:dyDescent="0.25">
      <c r="A143" s="10" t="s">
        <v>222</v>
      </c>
      <c r="B143" s="13">
        <v>5560.6</v>
      </c>
      <c r="C143" s="13">
        <v>5596.4</v>
      </c>
      <c r="D143" s="13" t="str">
        <f t="shared" si="11"/>
        <v>I</v>
      </c>
      <c r="E143" s="14">
        <v>9.2637883008356604E-3</v>
      </c>
      <c r="F143" s="14">
        <v>1.23E-2</v>
      </c>
      <c r="G143" s="18">
        <f t="shared" si="12"/>
        <v>9.2637883008356604E-3</v>
      </c>
      <c r="H143" s="11">
        <f t="shared" si="13"/>
        <v>1.23</v>
      </c>
      <c r="I143" s="11">
        <v>5580.8</v>
      </c>
      <c r="J143" s="10" t="str">
        <f t="shared" si="14"/>
        <v>Excentricidad  maxima del 1.23%</v>
      </c>
    </row>
    <row r="144" spans="1:10" x14ac:dyDescent="0.25">
      <c r="A144" s="10" t="s">
        <v>223</v>
      </c>
      <c r="B144" s="13">
        <v>5598.6</v>
      </c>
      <c r="C144" s="13">
        <v>5634.2</v>
      </c>
      <c r="D144" s="13" t="str">
        <f t="shared" si="11"/>
        <v>I</v>
      </c>
      <c r="E144" s="14">
        <v>9.7896358543417394E-3</v>
      </c>
      <c r="F144" s="14">
        <v>1.6199999999999999E-2</v>
      </c>
      <c r="G144" s="18">
        <f t="shared" si="12"/>
        <v>9.7896358543417394E-3</v>
      </c>
      <c r="H144" s="11">
        <f t="shared" si="13"/>
        <v>1.6199999999999999</v>
      </c>
      <c r="I144" s="11">
        <v>5618.4</v>
      </c>
      <c r="J144" s="10" t="str">
        <f t="shared" si="14"/>
        <v>Excentricidad  maxima del 1.62%</v>
      </c>
    </row>
    <row r="145" spans="1:10" x14ac:dyDescent="0.25">
      <c r="A145" s="10" t="s">
        <v>224</v>
      </c>
      <c r="B145" s="13">
        <v>5636.4</v>
      </c>
      <c r="C145" s="13">
        <v>5672.5</v>
      </c>
      <c r="D145" s="13" t="str">
        <f t="shared" si="11"/>
        <v>I</v>
      </c>
      <c r="E145" s="14">
        <v>8.9613259668508208E-3</v>
      </c>
      <c r="F145" s="14">
        <v>1.7000000000000001E-2</v>
      </c>
      <c r="G145" s="18">
        <f t="shared" si="12"/>
        <v>8.9613259668508208E-3</v>
      </c>
      <c r="H145" s="11">
        <f t="shared" si="13"/>
        <v>1.7000000000000002</v>
      </c>
      <c r="I145" s="11">
        <v>5667.5</v>
      </c>
      <c r="J145" s="10" t="str">
        <f t="shared" si="14"/>
        <v>Excentricidad  maxima del 1.70%</v>
      </c>
    </row>
    <row r="146" spans="1:10" x14ac:dyDescent="0.25">
      <c r="A146" s="10" t="s">
        <v>225</v>
      </c>
      <c r="B146" s="13">
        <v>5674.7</v>
      </c>
      <c r="C146" s="13">
        <v>5711</v>
      </c>
      <c r="D146" s="13" t="str">
        <f t="shared" si="11"/>
        <v>I</v>
      </c>
      <c r="E146" s="14">
        <v>9.8508241758241792E-3</v>
      </c>
      <c r="F146" s="14">
        <v>1.4E-2</v>
      </c>
      <c r="G146" s="18">
        <f t="shared" si="12"/>
        <v>9.8508241758241792E-3</v>
      </c>
      <c r="H146" s="11">
        <f t="shared" si="13"/>
        <v>1.4000000000000001</v>
      </c>
      <c r="I146" s="11">
        <v>5688.4</v>
      </c>
      <c r="J146" s="10" t="str">
        <f t="shared" si="14"/>
        <v>Excentricidad  maxima del 1.40%</v>
      </c>
    </row>
    <row r="147" spans="1:10" x14ac:dyDescent="0.25">
      <c r="A147" s="10" t="s">
        <v>226</v>
      </c>
      <c r="B147" s="13">
        <v>5713.2</v>
      </c>
      <c r="C147" s="13">
        <v>5748.7</v>
      </c>
      <c r="D147" s="13" t="str">
        <f t="shared" si="11"/>
        <v>I</v>
      </c>
      <c r="E147" s="14">
        <v>8.5657303370786503E-3</v>
      </c>
      <c r="F147" s="14">
        <v>1.29E-2</v>
      </c>
      <c r="G147" s="18">
        <f t="shared" si="12"/>
        <v>8.5657303370786503E-3</v>
      </c>
      <c r="H147" s="11">
        <f t="shared" si="13"/>
        <v>1.29</v>
      </c>
      <c r="I147" s="11">
        <v>5719.9</v>
      </c>
      <c r="J147" s="10" t="str">
        <f t="shared" si="14"/>
        <v>Excentricidad  maxima del 1.29%</v>
      </c>
    </row>
    <row r="148" spans="1:10" x14ac:dyDescent="0.25">
      <c r="A148" s="10" t="s">
        <v>227</v>
      </c>
      <c r="B148" s="13">
        <v>5750.9</v>
      </c>
      <c r="C148" s="13">
        <v>5787.3</v>
      </c>
      <c r="D148" s="13" t="str">
        <f t="shared" si="11"/>
        <v>I</v>
      </c>
      <c r="E148" s="14">
        <v>1.0979178082191701E-2</v>
      </c>
      <c r="F148" s="14">
        <v>1.5699999999999999E-2</v>
      </c>
      <c r="G148" s="18">
        <f t="shared" si="12"/>
        <v>1.0979178082191701E-2</v>
      </c>
      <c r="H148" s="11">
        <f t="shared" si="13"/>
        <v>1.5699999999999998</v>
      </c>
      <c r="I148" s="11">
        <v>5775.6</v>
      </c>
      <c r="J148" s="10" t="str">
        <f t="shared" si="14"/>
        <v>Excentricidad  maxima del 1.57%</v>
      </c>
    </row>
    <row r="149" spans="1:10" x14ac:dyDescent="0.25">
      <c r="A149" s="10" t="s">
        <v>228</v>
      </c>
      <c r="B149" s="13">
        <v>5789.5</v>
      </c>
      <c r="C149" s="13">
        <v>5825.6</v>
      </c>
      <c r="D149" s="13" t="str">
        <f t="shared" si="11"/>
        <v>I</v>
      </c>
      <c r="E149" s="14">
        <v>9.9961325966850794E-3</v>
      </c>
      <c r="F149" s="14">
        <v>1.5599999999999999E-2</v>
      </c>
      <c r="G149" s="18">
        <f t="shared" si="12"/>
        <v>9.9961325966850794E-3</v>
      </c>
      <c r="H149" s="11">
        <f t="shared" si="13"/>
        <v>1.5599999999999998</v>
      </c>
      <c r="I149" s="11">
        <v>5819.4</v>
      </c>
      <c r="J149" s="10" t="str">
        <f t="shared" si="14"/>
        <v>Excentricidad  maxima del 1.56%</v>
      </c>
    </row>
    <row r="150" spans="1:10" x14ac:dyDescent="0.25">
      <c r="A150" s="10" t="s">
        <v>229</v>
      </c>
      <c r="B150" s="13">
        <v>5827.8</v>
      </c>
      <c r="C150" s="13">
        <v>5863.1</v>
      </c>
      <c r="D150" s="13" t="str">
        <f t="shared" si="11"/>
        <v>I</v>
      </c>
      <c r="E150" s="14">
        <v>8.2341807909604506E-3</v>
      </c>
      <c r="F150" s="14">
        <v>1.3599999999999999E-2</v>
      </c>
      <c r="G150" s="18">
        <f t="shared" si="12"/>
        <v>8.2341807909604506E-3</v>
      </c>
      <c r="H150" s="11">
        <f t="shared" si="13"/>
        <v>1.3599999999999999</v>
      </c>
      <c r="I150" s="11">
        <v>5827.9</v>
      </c>
      <c r="J150" s="10" t="str">
        <f t="shared" si="14"/>
        <v>Excentricidad  maxima del 1.36%</v>
      </c>
    </row>
    <row r="151" spans="1:10" x14ac:dyDescent="0.25">
      <c r="A151" s="10" t="s">
        <v>230</v>
      </c>
      <c r="B151" s="13">
        <v>5865.3</v>
      </c>
      <c r="C151" s="13">
        <v>5901.1</v>
      </c>
      <c r="D151" s="13" t="str">
        <f t="shared" si="11"/>
        <v>I</v>
      </c>
      <c r="E151" s="14">
        <v>1.20813370473537E-2</v>
      </c>
      <c r="F151" s="14">
        <v>1.8200000000000001E-2</v>
      </c>
      <c r="G151" s="18">
        <f t="shared" si="12"/>
        <v>1.20813370473537E-2</v>
      </c>
      <c r="H151" s="11">
        <f t="shared" si="13"/>
        <v>1.82</v>
      </c>
      <c r="I151" s="11">
        <v>5882.5</v>
      </c>
      <c r="J151" s="10" t="str">
        <f t="shared" si="14"/>
        <v>Excentricidad  maxima del 1.82%</v>
      </c>
    </row>
    <row r="152" spans="1:10" x14ac:dyDescent="0.25">
      <c r="A152" s="10" t="s">
        <v>231</v>
      </c>
      <c r="B152" s="13">
        <v>5903.3</v>
      </c>
      <c r="C152" s="13">
        <v>5939.8</v>
      </c>
      <c r="D152" s="13" t="str">
        <f t="shared" si="11"/>
        <v>I</v>
      </c>
      <c r="E152" s="14">
        <v>9.8254098360655694E-3</v>
      </c>
      <c r="F152" s="14">
        <v>1.6400000000000001E-2</v>
      </c>
      <c r="G152" s="18">
        <f t="shared" si="12"/>
        <v>9.8254098360655694E-3</v>
      </c>
      <c r="H152" s="11">
        <f t="shared" si="13"/>
        <v>1.6400000000000001</v>
      </c>
      <c r="I152" s="11">
        <v>5933.8</v>
      </c>
      <c r="J152" s="10" t="str">
        <f t="shared" si="14"/>
        <v>Excentricidad  maxima del 1.64%</v>
      </c>
    </row>
    <row r="153" spans="1:10" x14ac:dyDescent="0.25">
      <c r="A153" s="10" t="s">
        <v>232</v>
      </c>
      <c r="B153" s="13">
        <v>5942</v>
      </c>
      <c r="C153" s="13">
        <v>5978</v>
      </c>
      <c r="D153" s="13" t="str">
        <f t="shared" si="11"/>
        <v>II</v>
      </c>
      <c r="E153" s="14">
        <v>1.59952908587257E-2</v>
      </c>
      <c r="F153" s="14">
        <v>2.2499999999999999E-2</v>
      </c>
      <c r="G153" s="18">
        <f t="shared" si="12"/>
        <v>1.59952908587257E-2</v>
      </c>
      <c r="H153" s="11">
        <f t="shared" si="13"/>
        <v>2.25</v>
      </c>
      <c r="I153" s="11">
        <v>5961.1</v>
      </c>
      <c r="J153" s="10" t="str">
        <f t="shared" si="14"/>
        <v>Excentricidad  maxima del 2.25%</v>
      </c>
    </row>
    <row r="154" spans="1:10" x14ac:dyDescent="0.25">
      <c r="A154" s="10" t="s">
        <v>233</v>
      </c>
      <c r="B154" s="13">
        <v>5980.2</v>
      </c>
      <c r="C154" s="13">
        <v>6015.9</v>
      </c>
      <c r="D154" s="13" t="str">
        <f>IF((F154)&lt;2%,"I",IF((F154)&lt;5%,"II","III"))</f>
        <v>I</v>
      </c>
      <c r="E154" s="14">
        <v>9.4265363128491608E-3</v>
      </c>
      <c r="F154" s="14">
        <v>1.7399999999999999E-2</v>
      </c>
      <c r="G154" s="18">
        <f t="shared" si="12"/>
        <v>9.4265363128491608E-3</v>
      </c>
      <c r="H154" s="11">
        <f>F154*100</f>
        <v>1.7399999999999998</v>
      </c>
      <c r="I154" s="11">
        <v>5980.6</v>
      </c>
      <c r="J154" s="10" t="str">
        <f>"Excentricidad  maxima del "&amp;TEXT(F154,"0.00%")</f>
        <v>Excentricidad  maxima del 1.74%</v>
      </c>
    </row>
    <row r="155" spans="1:10" x14ac:dyDescent="0.25">
      <c r="A155" s="10" t="s">
        <v>234</v>
      </c>
      <c r="B155" s="13">
        <v>6018.1</v>
      </c>
      <c r="C155" s="13">
        <v>6054.5</v>
      </c>
      <c r="D155" s="13" t="str">
        <f t="shared" ref="D155:D218" si="15">IF((F155)&lt;2%,"I",IF((F155)&lt;5%,"II","III"))</f>
        <v>I</v>
      </c>
      <c r="E155" s="14">
        <v>1.1967123287671201E-2</v>
      </c>
      <c r="F155" s="14">
        <v>1.77E-2</v>
      </c>
      <c r="G155" s="18">
        <f t="shared" si="12"/>
        <v>1.1967123287671201E-2</v>
      </c>
      <c r="H155" s="11">
        <f t="shared" ref="H155:H218" si="16">F155*100</f>
        <v>1.77</v>
      </c>
      <c r="I155" s="11">
        <v>6042</v>
      </c>
      <c r="J155" s="10" t="str">
        <f t="shared" ref="J155:J182" si="17">"Excentricidad  maxima del "&amp;TEXT(F155,"0.00%")</f>
        <v>Excentricidad  maxima del 1.77%</v>
      </c>
    </row>
    <row r="156" spans="1:10" x14ac:dyDescent="0.25">
      <c r="A156" s="10" t="s">
        <v>235</v>
      </c>
      <c r="B156" s="13">
        <v>6056.7</v>
      </c>
      <c r="C156" s="13">
        <v>6093.5</v>
      </c>
      <c r="D156" s="13" t="str">
        <f t="shared" si="15"/>
        <v>I</v>
      </c>
      <c r="E156" s="14">
        <v>8.7284552845528392E-3</v>
      </c>
      <c r="F156" s="14">
        <v>1.5699999999999999E-2</v>
      </c>
      <c r="G156" s="18">
        <f t="shared" si="12"/>
        <v>8.7284552845528392E-3</v>
      </c>
      <c r="H156" s="11">
        <f t="shared" si="16"/>
        <v>1.5699999999999998</v>
      </c>
      <c r="I156" s="11">
        <v>6093.5</v>
      </c>
      <c r="J156" s="10" t="str">
        <f t="shared" si="17"/>
        <v>Excentricidad  maxima del 1.57%</v>
      </c>
    </row>
    <row r="157" spans="1:10" x14ac:dyDescent="0.25">
      <c r="A157" s="10" t="s">
        <v>236</v>
      </c>
      <c r="B157" s="13">
        <v>6095.7</v>
      </c>
      <c r="C157" s="13">
        <v>6131.3</v>
      </c>
      <c r="D157" s="13" t="str">
        <f t="shared" si="15"/>
        <v>II</v>
      </c>
      <c r="E157" s="14">
        <v>1.5864145658263301E-2</v>
      </c>
      <c r="F157" s="14">
        <v>2.23E-2</v>
      </c>
      <c r="G157" s="18">
        <f t="shared" si="12"/>
        <v>1.5864145658263301E-2</v>
      </c>
      <c r="H157" s="11">
        <f t="shared" si="16"/>
        <v>2.23</v>
      </c>
      <c r="I157" s="11">
        <v>6113.5</v>
      </c>
      <c r="J157" s="10" t="str">
        <f t="shared" si="17"/>
        <v>Excentricidad  maxima del 2.23%</v>
      </c>
    </row>
    <row r="158" spans="1:10" x14ac:dyDescent="0.25">
      <c r="A158" s="10" t="s">
        <v>237</v>
      </c>
      <c r="B158" s="13">
        <v>6133.5</v>
      </c>
      <c r="C158" s="13">
        <v>6168.5</v>
      </c>
      <c r="D158" s="13" t="str">
        <f t="shared" si="15"/>
        <v>I</v>
      </c>
      <c r="E158" s="14">
        <v>9.9658119658119597E-3</v>
      </c>
      <c r="F158" s="14">
        <v>1.4E-2</v>
      </c>
      <c r="G158" s="18">
        <f t="shared" si="12"/>
        <v>9.9658119658119597E-3</v>
      </c>
      <c r="H158" s="11">
        <f t="shared" si="16"/>
        <v>1.4000000000000001</v>
      </c>
      <c r="I158" s="11">
        <v>6164.2</v>
      </c>
      <c r="J158" s="10" t="str">
        <f t="shared" si="17"/>
        <v>Excentricidad  maxima del 1.40%</v>
      </c>
    </row>
    <row r="159" spans="1:10" x14ac:dyDescent="0.25">
      <c r="A159" s="10" t="s">
        <v>238</v>
      </c>
      <c r="B159" s="13">
        <v>6170.7</v>
      </c>
      <c r="C159" s="13">
        <v>6207.1</v>
      </c>
      <c r="D159" s="13" t="str">
        <f t="shared" si="15"/>
        <v>I</v>
      </c>
      <c r="E159" s="14">
        <v>1.0243561643835599E-2</v>
      </c>
      <c r="F159" s="14">
        <v>1.4999999999999999E-2</v>
      </c>
      <c r="G159" s="18">
        <f t="shared" si="12"/>
        <v>1.0243561643835599E-2</v>
      </c>
      <c r="H159" s="11">
        <f t="shared" si="16"/>
        <v>1.5</v>
      </c>
      <c r="I159" s="11">
        <v>6177.9</v>
      </c>
      <c r="J159" s="10" t="str">
        <f t="shared" si="17"/>
        <v>Excentricidad  maxima del 1.50%</v>
      </c>
    </row>
    <row r="160" spans="1:10" x14ac:dyDescent="0.25">
      <c r="A160" s="10" t="s">
        <v>239</v>
      </c>
      <c r="B160" s="13">
        <v>6209.3</v>
      </c>
      <c r="C160" s="13">
        <v>6245</v>
      </c>
      <c r="D160" s="13" t="str">
        <f t="shared" si="15"/>
        <v>II</v>
      </c>
      <c r="E160" s="14">
        <v>1.1017877094972E-2</v>
      </c>
      <c r="F160" s="14">
        <v>2.2100000000000002E-2</v>
      </c>
      <c r="G160" s="18">
        <f t="shared" si="12"/>
        <v>1.1017877094972E-2</v>
      </c>
      <c r="H160" s="11">
        <f t="shared" si="16"/>
        <v>2.21</v>
      </c>
      <c r="I160" s="11">
        <v>6243.6</v>
      </c>
      <c r="J160" s="10" t="str">
        <f t="shared" si="17"/>
        <v>Excentricidad  maxima del 2.21%</v>
      </c>
    </row>
    <row r="161" spans="1:10" x14ac:dyDescent="0.25">
      <c r="A161" s="10" t="s">
        <v>240</v>
      </c>
      <c r="B161" s="13">
        <v>6247.2</v>
      </c>
      <c r="C161" s="13">
        <v>6283.7</v>
      </c>
      <c r="D161" s="13" t="str">
        <f t="shared" si="15"/>
        <v>II</v>
      </c>
      <c r="E161" s="14">
        <v>1.17685792349726E-2</v>
      </c>
      <c r="F161" s="14">
        <v>2.7E-2</v>
      </c>
      <c r="G161" s="18">
        <f t="shared" si="12"/>
        <v>1.17685792349726E-2</v>
      </c>
      <c r="H161" s="11">
        <f t="shared" si="16"/>
        <v>2.7</v>
      </c>
      <c r="I161" s="11">
        <v>6247.5</v>
      </c>
      <c r="J161" s="10" t="str">
        <f t="shared" si="17"/>
        <v>Excentricidad  maxima del 2.70%</v>
      </c>
    </row>
    <row r="162" spans="1:10" x14ac:dyDescent="0.25">
      <c r="A162" s="10" t="s">
        <v>241</v>
      </c>
      <c r="B162" s="13">
        <v>6285.9</v>
      </c>
      <c r="C162" s="13">
        <v>6321.1</v>
      </c>
      <c r="D162" s="13" t="str">
        <f t="shared" si="15"/>
        <v>I</v>
      </c>
      <c r="E162" s="14">
        <v>1.04084985835694E-2</v>
      </c>
      <c r="F162" s="14">
        <v>1.4999999999999999E-2</v>
      </c>
      <c r="G162" s="18">
        <f t="shared" si="12"/>
        <v>1.04084985835694E-2</v>
      </c>
      <c r="H162" s="11">
        <f t="shared" si="16"/>
        <v>1.5</v>
      </c>
      <c r="I162" s="11">
        <v>6304.4</v>
      </c>
      <c r="J162" s="10" t="str">
        <f t="shared" si="17"/>
        <v>Excentricidad  maxima del 1.50%</v>
      </c>
    </row>
    <row r="163" spans="1:10" x14ac:dyDescent="0.25">
      <c r="A163" s="10" t="s">
        <v>247</v>
      </c>
      <c r="B163" s="13">
        <v>6323.3</v>
      </c>
      <c r="C163" s="13">
        <v>6359.9</v>
      </c>
      <c r="D163" s="13" t="str">
        <f t="shared" si="15"/>
        <v>I</v>
      </c>
      <c r="E163" s="14">
        <v>6.9348773841961904E-3</v>
      </c>
      <c r="F163" s="14">
        <v>1.04E-2</v>
      </c>
      <c r="G163" s="18">
        <f t="shared" si="12"/>
        <v>6.9348773841961904E-3</v>
      </c>
      <c r="H163" s="11">
        <f t="shared" si="16"/>
        <v>1.04</v>
      </c>
      <c r="I163" s="11">
        <v>6323.8</v>
      </c>
      <c r="J163" s="10" t="str">
        <f t="shared" si="17"/>
        <v>Excentricidad  maxima del 1.04%</v>
      </c>
    </row>
    <row r="164" spans="1:10" x14ac:dyDescent="0.25">
      <c r="A164" s="10" t="s">
        <v>248</v>
      </c>
      <c r="B164" s="13">
        <v>6362.1</v>
      </c>
      <c r="C164" s="13">
        <v>6397.6</v>
      </c>
      <c r="D164" s="13" t="str">
        <f t="shared" si="15"/>
        <v>II</v>
      </c>
      <c r="E164" s="14">
        <v>1.38483146067415E-2</v>
      </c>
      <c r="F164" s="14">
        <v>2.2700000000000001E-2</v>
      </c>
      <c r="G164" s="18">
        <f t="shared" si="12"/>
        <v>1.38483146067415E-2</v>
      </c>
      <c r="H164" s="11">
        <f t="shared" si="16"/>
        <v>2.27</v>
      </c>
      <c r="I164" s="11">
        <v>6376.3</v>
      </c>
      <c r="J164" s="10" t="str">
        <f t="shared" si="17"/>
        <v>Excentricidad  maxima del 2.27%</v>
      </c>
    </row>
    <row r="165" spans="1:10" x14ac:dyDescent="0.25">
      <c r="A165" s="10" t="s">
        <v>249</v>
      </c>
      <c r="B165" s="13">
        <v>6399.8</v>
      </c>
      <c r="C165" s="13">
        <v>6436.2</v>
      </c>
      <c r="D165" s="13" t="str">
        <f t="shared" si="15"/>
        <v>I</v>
      </c>
      <c r="E165" s="14">
        <v>1.09427397260274E-2</v>
      </c>
      <c r="F165" s="14">
        <v>1.6199999999999999E-2</v>
      </c>
      <c r="G165" s="18">
        <f t="shared" si="12"/>
        <v>1.09427397260274E-2</v>
      </c>
      <c r="H165" s="11">
        <f t="shared" si="16"/>
        <v>1.6199999999999999</v>
      </c>
      <c r="I165" s="11">
        <v>6418</v>
      </c>
      <c r="J165" s="10" t="str">
        <f t="shared" si="17"/>
        <v>Excentricidad  maxima del 1.62%</v>
      </c>
    </row>
    <row r="166" spans="1:10" x14ac:dyDescent="0.25">
      <c r="A166" s="10" t="s">
        <v>250</v>
      </c>
      <c r="B166" s="13">
        <v>6438.4</v>
      </c>
      <c r="C166" s="13">
        <v>6474.3</v>
      </c>
      <c r="D166" s="13" t="str">
        <f t="shared" si="15"/>
        <v>I</v>
      </c>
      <c r="E166" s="14">
        <v>1.02111111111111E-2</v>
      </c>
      <c r="F166" s="14">
        <v>1.6799999999999999E-2</v>
      </c>
      <c r="G166" s="18">
        <f t="shared" si="12"/>
        <v>1.02111111111111E-2</v>
      </c>
      <c r="H166" s="11">
        <f t="shared" si="16"/>
        <v>1.68</v>
      </c>
      <c r="I166" s="11">
        <v>6438.5</v>
      </c>
      <c r="J166" s="10" t="str">
        <f t="shared" si="17"/>
        <v>Excentricidad  maxima del 1.68%</v>
      </c>
    </row>
    <row r="167" spans="1:10" x14ac:dyDescent="0.25">
      <c r="A167" s="10" t="s">
        <v>251</v>
      </c>
      <c r="B167" s="13">
        <v>6476.5</v>
      </c>
      <c r="C167" s="13">
        <v>6511.9</v>
      </c>
      <c r="D167" s="13" t="str">
        <f t="shared" si="15"/>
        <v>I</v>
      </c>
      <c r="E167" s="14">
        <v>7.0994366197182999E-3</v>
      </c>
      <c r="F167" s="14">
        <v>1.2999999999999999E-2</v>
      </c>
      <c r="G167" s="18">
        <f t="shared" si="12"/>
        <v>7.0994366197182999E-3</v>
      </c>
      <c r="H167" s="11">
        <f t="shared" si="16"/>
        <v>1.3</v>
      </c>
      <c r="I167" s="11">
        <v>6509.2</v>
      </c>
      <c r="J167" s="10" t="str">
        <f t="shared" si="17"/>
        <v>Excentricidad  maxima del 1.30%</v>
      </c>
    </row>
    <row r="168" spans="1:10" x14ac:dyDescent="0.25">
      <c r="A168" s="10" t="s">
        <v>252</v>
      </c>
      <c r="B168" s="13">
        <v>6514.1</v>
      </c>
      <c r="C168" s="13">
        <v>6554.5</v>
      </c>
      <c r="D168" s="13" t="str">
        <f t="shared" si="15"/>
        <v>II</v>
      </c>
      <c r="E168" s="14">
        <v>1.28669135802469E-2</v>
      </c>
      <c r="F168" s="14">
        <v>0.02</v>
      </c>
      <c r="G168" s="18">
        <f t="shared" si="12"/>
        <v>1.28669135802469E-2</v>
      </c>
      <c r="H168" s="11">
        <f t="shared" si="16"/>
        <v>2</v>
      </c>
      <c r="I168" s="11">
        <v>6529.4</v>
      </c>
      <c r="J168" s="10" t="str">
        <f t="shared" si="17"/>
        <v>Excentricidad  maxima del 2.00%</v>
      </c>
    </row>
    <row r="169" spans="1:10" x14ac:dyDescent="0.25">
      <c r="A169" s="10" t="s">
        <v>253</v>
      </c>
      <c r="B169" s="13">
        <v>6556.7</v>
      </c>
      <c r="C169" s="13">
        <v>6592.7</v>
      </c>
      <c r="D169" s="13" t="str">
        <f t="shared" si="15"/>
        <v>I</v>
      </c>
      <c r="E169" s="14">
        <v>1.2350415512465299E-2</v>
      </c>
      <c r="F169" s="14">
        <v>1.7299999999999999E-2</v>
      </c>
      <c r="G169" s="18">
        <f t="shared" si="12"/>
        <v>1.2350415512465299E-2</v>
      </c>
      <c r="H169" s="11">
        <f t="shared" si="16"/>
        <v>1.73</v>
      </c>
      <c r="I169" s="11">
        <v>6576.7</v>
      </c>
      <c r="J169" s="10" t="str">
        <f t="shared" si="17"/>
        <v>Excentricidad  maxima del 1.73%</v>
      </c>
    </row>
    <row r="170" spans="1:10" x14ac:dyDescent="0.25">
      <c r="A170" s="10" t="s">
        <v>254</v>
      </c>
      <c r="B170" s="13">
        <v>6594.9</v>
      </c>
      <c r="C170" s="13">
        <v>6631.1</v>
      </c>
      <c r="D170" s="13" t="str">
        <f t="shared" si="15"/>
        <v>I</v>
      </c>
      <c r="E170" s="14">
        <v>8.1269972451790493E-3</v>
      </c>
      <c r="F170" s="14">
        <v>1.54E-2</v>
      </c>
      <c r="G170" s="18">
        <f t="shared" si="12"/>
        <v>8.1269972451790493E-3</v>
      </c>
      <c r="H170" s="11">
        <f t="shared" si="16"/>
        <v>1.54</v>
      </c>
      <c r="I170" s="11">
        <v>6595.1</v>
      </c>
      <c r="J170" s="10" t="str">
        <f t="shared" si="17"/>
        <v>Excentricidad  maxima del 1.54%</v>
      </c>
    </row>
    <row r="171" spans="1:10" x14ac:dyDescent="0.25">
      <c r="A171" s="10" t="s">
        <v>255</v>
      </c>
      <c r="B171" s="13">
        <v>6633.3</v>
      </c>
      <c r="C171" s="13">
        <v>6669.7</v>
      </c>
      <c r="D171" s="13" t="str">
        <f t="shared" si="15"/>
        <v>I</v>
      </c>
      <c r="E171" s="14">
        <v>1.10057534246575E-2</v>
      </c>
      <c r="F171" s="14">
        <v>1.6500000000000001E-2</v>
      </c>
      <c r="G171" s="18">
        <f t="shared" si="12"/>
        <v>1.10057534246575E-2</v>
      </c>
      <c r="H171" s="11">
        <f t="shared" si="16"/>
        <v>1.6500000000000001</v>
      </c>
      <c r="I171" s="11">
        <v>6664</v>
      </c>
      <c r="J171" s="10" t="str">
        <f t="shared" si="17"/>
        <v>Excentricidad  maxima del 1.65%</v>
      </c>
    </row>
    <row r="172" spans="1:10" x14ac:dyDescent="0.25">
      <c r="A172" s="10" t="s">
        <v>256</v>
      </c>
      <c r="B172" s="13">
        <v>6671.9</v>
      </c>
      <c r="C172" s="13">
        <v>6712.4</v>
      </c>
      <c r="D172" s="13" t="str">
        <f t="shared" si="15"/>
        <v>I</v>
      </c>
      <c r="E172" s="14">
        <v>1.0937931034482699E-2</v>
      </c>
      <c r="F172" s="14">
        <v>1.8800000000000001E-2</v>
      </c>
      <c r="G172" s="18">
        <f t="shared" si="12"/>
        <v>1.0937931034482699E-2</v>
      </c>
      <c r="H172" s="11">
        <f t="shared" si="16"/>
        <v>1.8800000000000001</v>
      </c>
      <c r="I172" s="11">
        <v>6711.2</v>
      </c>
      <c r="J172" s="10" t="str">
        <f t="shared" si="17"/>
        <v>Excentricidad  maxima del 1.88%</v>
      </c>
    </row>
    <row r="173" spans="1:10" x14ac:dyDescent="0.25">
      <c r="A173" s="10" t="s">
        <v>257</v>
      </c>
      <c r="B173" s="13">
        <v>6714.6</v>
      </c>
      <c r="C173" s="13">
        <v>6755.8</v>
      </c>
      <c r="D173" s="13" t="str">
        <f t="shared" si="15"/>
        <v>I</v>
      </c>
      <c r="E173" s="14">
        <v>9.9547215496367993E-3</v>
      </c>
      <c r="F173" s="14">
        <v>1.52E-2</v>
      </c>
      <c r="G173" s="18">
        <f t="shared" si="12"/>
        <v>9.9547215496367993E-3</v>
      </c>
      <c r="H173" s="11">
        <f t="shared" si="16"/>
        <v>1.52</v>
      </c>
      <c r="I173" s="11">
        <v>6715.9</v>
      </c>
      <c r="J173" s="10" t="str">
        <f t="shared" si="17"/>
        <v>Excentricidad  maxima del 1.52%</v>
      </c>
    </row>
    <row r="174" spans="1:10" x14ac:dyDescent="0.25">
      <c r="A174" s="10" t="s">
        <v>258</v>
      </c>
      <c r="B174" s="13">
        <v>6758</v>
      </c>
      <c r="C174" s="13">
        <v>6798.5</v>
      </c>
      <c r="D174" s="13" t="str">
        <f t="shared" si="15"/>
        <v>II</v>
      </c>
      <c r="E174" s="14">
        <v>1.0569950738916201E-2</v>
      </c>
      <c r="F174" s="14">
        <v>2.3300000000000001E-2</v>
      </c>
      <c r="G174" s="18">
        <f t="shared" si="12"/>
        <v>1.0569950738916201E-2</v>
      </c>
      <c r="H174" s="11">
        <f t="shared" si="16"/>
        <v>2.33</v>
      </c>
      <c r="I174" s="11">
        <v>6798.1</v>
      </c>
      <c r="J174" s="10" t="str">
        <f t="shared" si="17"/>
        <v>Excentricidad  maxima del 2.33%</v>
      </c>
    </row>
    <row r="175" spans="1:10" x14ac:dyDescent="0.25">
      <c r="A175" s="10" t="s">
        <v>259</v>
      </c>
      <c r="B175" s="13">
        <v>6800.7</v>
      </c>
      <c r="C175" s="13">
        <v>6840.4</v>
      </c>
      <c r="D175" s="13" t="str">
        <f t="shared" si="15"/>
        <v>I</v>
      </c>
      <c r="E175" s="14">
        <v>1.1620854271356699E-2</v>
      </c>
      <c r="F175" s="14">
        <v>1.9E-2</v>
      </c>
      <c r="G175" s="18">
        <f t="shared" si="12"/>
        <v>1.1620854271356699E-2</v>
      </c>
      <c r="H175" s="11">
        <f t="shared" si="16"/>
        <v>1.9</v>
      </c>
      <c r="I175" s="11">
        <v>6801.2</v>
      </c>
      <c r="J175" s="10" t="str">
        <f t="shared" si="17"/>
        <v>Excentricidad  maxima del 1.90%</v>
      </c>
    </row>
    <row r="176" spans="1:10" x14ac:dyDescent="0.25">
      <c r="A176" s="10" t="s">
        <v>260</v>
      </c>
      <c r="B176" s="13">
        <v>6842.6</v>
      </c>
      <c r="C176" s="13">
        <v>6883.3</v>
      </c>
      <c r="D176" s="13" t="str">
        <f t="shared" si="15"/>
        <v>I</v>
      </c>
      <c r="E176" s="14">
        <v>1.11674019607843E-2</v>
      </c>
      <c r="F176" s="14">
        <v>1.6400000000000001E-2</v>
      </c>
      <c r="G176" s="18">
        <f t="shared" si="12"/>
        <v>1.11674019607843E-2</v>
      </c>
      <c r="H176" s="11">
        <f t="shared" si="16"/>
        <v>1.6400000000000001</v>
      </c>
      <c r="I176" s="11">
        <v>6854.2</v>
      </c>
      <c r="J176" s="10" t="str">
        <f t="shared" si="17"/>
        <v>Excentricidad  maxima del 1.64%</v>
      </c>
    </row>
    <row r="177" spans="1:10" x14ac:dyDescent="0.25">
      <c r="A177" s="10" t="s">
        <v>261</v>
      </c>
      <c r="B177" s="13">
        <v>6885.5</v>
      </c>
      <c r="C177" s="13">
        <v>6925.2</v>
      </c>
      <c r="D177" s="13" t="str">
        <f t="shared" si="15"/>
        <v>I</v>
      </c>
      <c r="E177" s="14">
        <v>1.05464824120603E-2</v>
      </c>
      <c r="F177" s="14">
        <v>1.8700000000000001E-2</v>
      </c>
      <c r="G177" s="18">
        <f t="shared" si="12"/>
        <v>1.05464824120603E-2</v>
      </c>
      <c r="H177" s="11">
        <f t="shared" si="16"/>
        <v>1.87</v>
      </c>
      <c r="I177" s="11">
        <v>6922.8</v>
      </c>
      <c r="J177" s="10" t="str">
        <f t="shared" si="17"/>
        <v>Excentricidad  maxima del 1.87%</v>
      </c>
    </row>
    <row r="178" spans="1:10" x14ac:dyDescent="0.25">
      <c r="A178" s="10" t="s">
        <v>262</v>
      </c>
      <c r="B178" s="13">
        <v>6927.4</v>
      </c>
      <c r="C178" s="13">
        <v>6968.2</v>
      </c>
      <c r="D178" s="13" t="str">
        <f t="shared" si="15"/>
        <v>II</v>
      </c>
      <c r="E178" s="14">
        <v>1.2324938875305599E-2</v>
      </c>
      <c r="F178" s="14">
        <v>2.3599999999999999E-2</v>
      </c>
      <c r="G178" s="18">
        <f t="shared" si="12"/>
        <v>1.2324938875305599E-2</v>
      </c>
      <c r="H178" s="11">
        <f t="shared" si="16"/>
        <v>2.36</v>
      </c>
      <c r="I178" s="11">
        <v>6930.8</v>
      </c>
      <c r="J178" s="10" t="str">
        <f t="shared" si="17"/>
        <v>Excentricidad  maxima del 2.36%</v>
      </c>
    </row>
    <row r="179" spans="1:10" x14ac:dyDescent="0.25">
      <c r="A179" s="10" t="s">
        <v>263</v>
      </c>
      <c r="B179" s="13">
        <v>6970.4</v>
      </c>
      <c r="C179" s="13">
        <v>7011.5</v>
      </c>
      <c r="D179" s="13" t="str">
        <f t="shared" si="15"/>
        <v>I</v>
      </c>
      <c r="E179" s="14">
        <v>1.14135922330097E-2</v>
      </c>
      <c r="F179" s="14">
        <v>1.7100000000000001E-2</v>
      </c>
      <c r="G179" s="18">
        <f t="shared" si="12"/>
        <v>1.14135922330097E-2</v>
      </c>
      <c r="H179" s="11">
        <f t="shared" si="16"/>
        <v>1.71</v>
      </c>
      <c r="I179" s="11">
        <v>6972.4</v>
      </c>
      <c r="J179" s="10" t="str">
        <f t="shared" si="17"/>
        <v>Excentricidad  maxima del 1.71%</v>
      </c>
    </row>
    <row r="180" spans="1:10" x14ac:dyDescent="0.25">
      <c r="A180" s="10" t="s">
        <v>264</v>
      </c>
      <c r="B180" s="13">
        <v>7013.7</v>
      </c>
      <c r="C180" s="13">
        <v>7053.1</v>
      </c>
      <c r="D180" s="13" t="str">
        <f t="shared" si="15"/>
        <v>I</v>
      </c>
      <c r="E180" s="14">
        <v>9.1101265822784803E-3</v>
      </c>
      <c r="F180" s="14">
        <v>1.5100000000000001E-2</v>
      </c>
      <c r="G180" s="18">
        <f t="shared" si="12"/>
        <v>9.1101265822784803E-3</v>
      </c>
      <c r="H180" s="11">
        <f t="shared" si="16"/>
        <v>1.51</v>
      </c>
      <c r="I180" s="11">
        <v>7049.5</v>
      </c>
      <c r="J180" s="10" t="str">
        <f t="shared" si="17"/>
        <v>Excentricidad  maxima del 1.51%</v>
      </c>
    </row>
    <row r="181" spans="1:10" x14ac:dyDescent="0.25">
      <c r="A181" s="10" t="s">
        <v>265</v>
      </c>
      <c r="B181" s="13">
        <v>7055.3</v>
      </c>
      <c r="C181" s="13">
        <v>7095.5</v>
      </c>
      <c r="D181" s="13" t="str">
        <f t="shared" si="15"/>
        <v>I</v>
      </c>
      <c r="E181" s="14">
        <v>1.0596277915632699E-2</v>
      </c>
      <c r="F181" s="14">
        <v>1.7000000000000001E-2</v>
      </c>
      <c r="G181" s="18">
        <f t="shared" si="12"/>
        <v>1.0596277915632699E-2</v>
      </c>
      <c r="H181" s="11">
        <f t="shared" si="16"/>
        <v>1.7000000000000002</v>
      </c>
      <c r="I181" s="11">
        <v>7065.4</v>
      </c>
      <c r="J181" s="10" t="str">
        <f t="shared" si="17"/>
        <v>Excentricidad  maxima del 1.70%</v>
      </c>
    </row>
    <row r="182" spans="1:10" x14ac:dyDescent="0.25">
      <c r="A182" s="10" t="s">
        <v>266</v>
      </c>
      <c r="B182" s="13">
        <v>7097.7</v>
      </c>
      <c r="C182" s="13">
        <v>7136.8</v>
      </c>
      <c r="D182" s="13" t="str">
        <f t="shared" si="15"/>
        <v>I</v>
      </c>
      <c r="E182" s="14">
        <v>1.0335204081632601E-2</v>
      </c>
      <c r="F182" s="14">
        <v>1.4800000000000001E-2</v>
      </c>
      <c r="G182" s="18">
        <f t="shared" si="12"/>
        <v>1.0335204081632601E-2</v>
      </c>
      <c r="H182" s="11">
        <f t="shared" si="16"/>
        <v>1.48</v>
      </c>
      <c r="I182" s="11">
        <v>7129.9</v>
      </c>
      <c r="J182" s="10" t="str">
        <f t="shared" si="17"/>
        <v>Excentricidad  maxima del 1.48%</v>
      </c>
    </row>
    <row r="183" spans="1:10" x14ac:dyDescent="0.25">
      <c r="A183" s="10" t="s">
        <v>267</v>
      </c>
      <c r="B183" s="13">
        <v>7139</v>
      </c>
      <c r="C183" s="13">
        <v>7179.8</v>
      </c>
      <c r="D183" s="13" t="str">
        <f t="shared" si="15"/>
        <v>I</v>
      </c>
      <c r="E183" s="14">
        <v>8.3105134474327595E-3</v>
      </c>
      <c r="F183" s="14">
        <v>1.44E-2</v>
      </c>
      <c r="G183" s="18">
        <f t="shared" si="12"/>
        <v>8.3105134474327595E-3</v>
      </c>
      <c r="H183" s="11">
        <f t="shared" si="16"/>
        <v>1.44</v>
      </c>
      <c r="I183" s="11">
        <v>7146.9</v>
      </c>
      <c r="J183" s="10" t="str">
        <f>"Excentricidad  maxima del "&amp;TEXT(F183,"0.00%")</f>
        <v>Excentricidad  maxima del 1.44%</v>
      </c>
    </row>
    <row r="184" spans="1:10" x14ac:dyDescent="0.25">
      <c r="A184" s="10" t="s">
        <v>268</v>
      </c>
      <c r="B184" s="13">
        <v>7182</v>
      </c>
      <c r="C184" s="13">
        <v>7219.9</v>
      </c>
      <c r="D184" s="13" t="str">
        <f t="shared" si="15"/>
        <v>I</v>
      </c>
      <c r="E184" s="14">
        <v>1.0566578947368401E-2</v>
      </c>
      <c r="F184" s="14">
        <v>1.66E-2</v>
      </c>
      <c r="G184" s="18">
        <f t="shared" si="12"/>
        <v>1.0566578947368401E-2</v>
      </c>
      <c r="H184" s="11">
        <f t="shared" si="16"/>
        <v>1.66</v>
      </c>
      <c r="I184" s="11">
        <v>7218.4</v>
      </c>
      <c r="J184" s="10" t="str">
        <f t="shared" ref="J184:J196" si="18">"Excentricidad  maxima del "&amp;TEXT(F184,"0.00%")</f>
        <v>Excentricidad  maxima del 1.66%</v>
      </c>
    </row>
    <row r="185" spans="1:10" x14ac:dyDescent="0.25">
      <c r="A185" s="10" t="s">
        <v>269</v>
      </c>
      <c r="B185" s="13">
        <v>7222.1</v>
      </c>
      <c r="C185" s="13">
        <v>7263.6</v>
      </c>
      <c r="D185" s="13" t="str">
        <f t="shared" si="15"/>
        <v>I</v>
      </c>
      <c r="E185" s="14">
        <v>1.0356490384615301E-2</v>
      </c>
      <c r="F185" s="14">
        <v>1.4999999999999999E-2</v>
      </c>
      <c r="G185" s="18">
        <f t="shared" si="12"/>
        <v>1.0356490384615301E-2</v>
      </c>
      <c r="H185" s="11">
        <f t="shared" si="16"/>
        <v>1.5</v>
      </c>
      <c r="I185" s="11">
        <v>7251.4</v>
      </c>
      <c r="J185" s="10" t="str">
        <f t="shared" si="18"/>
        <v>Excentricidad  maxima del 1.50%</v>
      </c>
    </row>
    <row r="186" spans="1:10" x14ac:dyDescent="0.25">
      <c r="A186" s="10" t="s">
        <v>270</v>
      </c>
      <c r="B186" s="13">
        <v>7265.8</v>
      </c>
      <c r="C186" s="13">
        <v>7307.1</v>
      </c>
      <c r="D186" s="13" t="str">
        <f t="shared" si="15"/>
        <v>I</v>
      </c>
      <c r="E186" s="14">
        <v>8.94420289855072E-3</v>
      </c>
      <c r="F186" s="14">
        <v>1.55E-2</v>
      </c>
      <c r="G186" s="18">
        <f t="shared" si="12"/>
        <v>8.94420289855072E-3</v>
      </c>
      <c r="H186" s="11">
        <f t="shared" si="16"/>
        <v>1.55</v>
      </c>
      <c r="I186" s="11">
        <v>7270.3</v>
      </c>
      <c r="J186" s="10" t="str">
        <f t="shared" si="18"/>
        <v>Excentricidad  maxima del 1.55%</v>
      </c>
    </row>
    <row r="187" spans="1:10" x14ac:dyDescent="0.25">
      <c r="A187" s="10" t="s">
        <v>271</v>
      </c>
      <c r="B187" s="13">
        <v>7309.3</v>
      </c>
      <c r="C187" s="13">
        <v>7349.5</v>
      </c>
      <c r="D187" s="13" t="str">
        <f t="shared" si="15"/>
        <v>I</v>
      </c>
      <c r="E187" s="14">
        <v>1.0098263027295201E-2</v>
      </c>
      <c r="F187" s="14">
        <v>1.6799999999999999E-2</v>
      </c>
      <c r="G187" s="18">
        <f t="shared" si="12"/>
        <v>1.0098263027295201E-2</v>
      </c>
      <c r="H187" s="11">
        <f t="shared" si="16"/>
        <v>1.68</v>
      </c>
      <c r="I187" s="11">
        <v>7349</v>
      </c>
      <c r="J187" s="10" t="str">
        <f t="shared" si="18"/>
        <v>Excentricidad  maxima del 1.68%</v>
      </c>
    </row>
    <row r="188" spans="1:10" x14ac:dyDescent="0.25">
      <c r="A188" s="10" t="s">
        <v>272</v>
      </c>
      <c r="B188" s="13">
        <v>7351.7</v>
      </c>
      <c r="C188" s="13">
        <v>7391.7</v>
      </c>
      <c r="D188" s="13" t="str">
        <f t="shared" si="15"/>
        <v>I</v>
      </c>
      <c r="E188" s="14">
        <v>1.06630922693266E-2</v>
      </c>
      <c r="F188" s="14">
        <v>1.6799999999999999E-2</v>
      </c>
      <c r="G188" s="18">
        <f t="shared" si="12"/>
        <v>1.06630922693266E-2</v>
      </c>
      <c r="H188" s="11">
        <f t="shared" si="16"/>
        <v>1.68</v>
      </c>
      <c r="I188" s="11">
        <v>7352</v>
      </c>
      <c r="J188" s="10" t="str">
        <f t="shared" si="18"/>
        <v>Excentricidad  maxima del 1.68%</v>
      </c>
    </row>
    <row r="189" spans="1:10" x14ac:dyDescent="0.25">
      <c r="A189" s="10" t="s">
        <v>273</v>
      </c>
      <c r="B189" s="13">
        <v>7393.9</v>
      </c>
      <c r="C189" s="13">
        <v>7433.2</v>
      </c>
      <c r="D189" s="13" t="str">
        <f t="shared" si="15"/>
        <v>I</v>
      </c>
      <c r="E189" s="14">
        <v>9.8624365482233509E-3</v>
      </c>
      <c r="F189" s="14">
        <v>1.5900000000000001E-2</v>
      </c>
      <c r="G189" s="18">
        <f t="shared" si="12"/>
        <v>9.8624365482233509E-3</v>
      </c>
      <c r="H189" s="11">
        <f t="shared" si="16"/>
        <v>1.59</v>
      </c>
      <c r="I189" s="11">
        <v>7430.3</v>
      </c>
      <c r="J189" s="10" t="str">
        <f t="shared" si="18"/>
        <v>Excentricidad  maxima del 1.59%</v>
      </c>
    </row>
    <row r="190" spans="1:10" x14ac:dyDescent="0.25">
      <c r="A190" s="10" t="s">
        <v>274</v>
      </c>
      <c r="B190" s="13">
        <v>7435.4</v>
      </c>
      <c r="C190" s="13">
        <v>7474</v>
      </c>
      <c r="D190" s="13" t="str">
        <f t="shared" si="15"/>
        <v>I</v>
      </c>
      <c r="E190" s="14">
        <v>9.9431524547803594E-3</v>
      </c>
      <c r="F190" s="14">
        <v>1.55E-2</v>
      </c>
      <c r="G190" s="18">
        <f t="shared" si="12"/>
        <v>9.9431524547803594E-3</v>
      </c>
      <c r="H190" s="11">
        <f t="shared" si="16"/>
        <v>1.55</v>
      </c>
      <c r="I190" s="11">
        <v>7466.2</v>
      </c>
      <c r="J190" s="10" t="str">
        <f t="shared" si="18"/>
        <v>Excentricidad  maxima del 1.55%</v>
      </c>
    </row>
    <row r="191" spans="1:10" x14ac:dyDescent="0.25">
      <c r="A191" s="10" t="s">
        <v>275</v>
      </c>
      <c r="B191" s="13">
        <v>7476.2</v>
      </c>
      <c r="C191" s="13">
        <v>7515.7</v>
      </c>
      <c r="D191" s="13" t="str">
        <f t="shared" si="15"/>
        <v>I</v>
      </c>
      <c r="E191" s="14">
        <v>1.05545454545454E-2</v>
      </c>
      <c r="F191" s="14">
        <v>1.4999999999999999E-2</v>
      </c>
      <c r="G191" s="18">
        <f t="shared" si="12"/>
        <v>1.05545454545454E-2</v>
      </c>
      <c r="H191" s="11">
        <f t="shared" si="16"/>
        <v>1.5</v>
      </c>
      <c r="I191" s="11">
        <v>7481.6</v>
      </c>
      <c r="J191" s="10" t="str">
        <f t="shared" si="18"/>
        <v>Excentricidad  maxima del 1.50%</v>
      </c>
    </row>
    <row r="192" spans="1:10" x14ac:dyDescent="0.25">
      <c r="A192" s="10" t="s">
        <v>276</v>
      </c>
      <c r="B192" s="13">
        <v>7517.9</v>
      </c>
      <c r="C192" s="13">
        <v>7559.1</v>
      </c>
      <c r="D192" s="13" t="str">
        <f t="shared" si="15"/>
        <v>I</v>
      </c>
      <c r="E192" s="14">
        <v>9.3779661016949196E-3</v>
      </c>
      <c r="F192" s="14">
        <v>1.43E-2</v>
      </c>
      <c r="G192" s="18">
        <f t="shared" si="12"/>
        <v>9.3779661016949196E-3</v>
      </c>
      <c r="H192" s="11">
        <f t="shared" si="16"/>
        <v>1.43</v>
      </c>
      <c r="I192" s="11">
        <v>7541</v>
      </c>
      <c r="J192" s="10" t="str">
        <f t="shared" si="18"/>
        <v>Excentricidad  maxima del 1.43%</v>
      </c>
    </row>
    <row r="193" spans="1:10" x14ac:dyDescent="0.25">
      <c r="A193" s="10" t="s">
        <v>277</v>
      </c>
      <c r="B193" s="13">
        <v>7561.3</v>
      </c>
      <c r="C193" s="13">
        <v>7599.5</v>
      </c>
      <c r="D193" s="13" t="str">
        <f t="shared" si="15"/>
        <v>I</v>
      </c>
      <c r="E193" s="14">
        <v>9.1550913838120106E-3</v>
      </c>
      <c r="F193" s="14">
        <v>1.3299999999999999E-2</v>
      </c>
      <c r="G193" s="18">
        <f t="shared" si="12"/>
        <v>9.1550913838120106E-3</v>
      </c>
      <c r="H193" s="11">
        <f t="shared" si="16"/>
        <v>1.3299999999999998</v>
      </c>
      <c r="I193" s="11">
        <v>7562.1</v>
      </c>
      <c r="J193" s="10" t="str">
        <f t="shared" si="18"/>
        <v>Excentricidad  maxima del 1.33%</v>
      </c>
    </row>
    <row r="194" spans="1:10" x14ac:dyDescent="0.25">
      <c r="A194" s="10" t="s">
        <v>278</v>
      </c>
      <c r="B194" s="13">
        <v>7601.7</v>
      </c>
      <c r="C194" s="13">
        <v>7642.8</v>
      </c>
      <c r="D194" s="13" t="str">
        <f t="shared" si="15"/>
        <v>I</v>
      </c>
      <c r="E194" s="14">
        <v>9.9131067961165092E-3</v>
      </c>
      <c r="F194" s="14">
        <v>1.44E-2</v>
      </c>
      <c r="G194" s="18">
        <f t="shared" si="12"/>
        <v>9.9131067961165092E-3</v>
      </c>
      <c r="H194" s="11">
        <f t="shared" si="16"/>
        <v>1.44</v>
      </c>
      <c r="I194" s="11">
        <v>7612.6</v>
      </c>
      <c r="J194" s="10" t="str">
        <f t="shared" si="18"/>
        <v>Excentricidad  maxima del 1.44%</v>
      </c>
    </row>
    <row r="195" spans="1:10" x14ac:dyDescent="0.25">
      <c r="A195" s="10" t="s">
        <v>279</v>
      </c>
      <c r="B195" s="13">
        <v>7645</v>
      </c>
      <c r="C195" s="13">
        <v>7686.3</v>
      </c>
      <c r="D195" s="13" t="str">
        <f t="shared" si="15"/>
        <v>I</v>
      </c>
      <c r="E195" s="14">
        <v>1.1075603864734201E-2</v>
      </c>
      <c r="F195" s="14">
        <v>1.78E-2</v>
      </c>
      <c r="G195" s="18">
        <f t="shared" ref="G195:G258" si="19">E195</f>
        <v>1.1075603864734201E-2</v>
      </c>
      <c r="H195" s="11">
        <f t="shared" si="16"/>
        <v>1.78</v>
      </c>
      <c r="I195" s="11">
        <v>7684.5</v>
      </c>
      <c r="J195" s="10" t="str">
        <f t="shared" si="18"/>
        <v>Excentricidad  maxima del 1.78%</v>
      </c>
    </row>
    <row r="196" spans="1:10" x14ac:dyDescent="0.25">
      <c r="A196" s="10" t="s">
        <v>280</v>
      </c>
      <c r="B196" s="13">
        <v>7688.5</v>
      </c>
      <c r="C196" s="13">
        <v>7728.6</v>
      </c>
      <c r="D196" s="13" t="str">
        <f t="shared" si="15"/>
        <v>I</v>
      </c>
      <c r="E196" s="14">
        <v>9.9751243781094501E-3</v>
      </c>
      <c r="F196" s="14">
        <v>1.46E-2</v>
      </c>
      <c r="G196" s="18">
        <f t="shared" si="19"/>
        <v>9.9751243781094501E-3</v>
      </c>
      <c r="H196" s="11">
        <f t="shared" si="16"/>
        <v>1.46</v>
      </c>
      <c r="I196" s="11">
        <v>7692.6</v>
      </c>
      <c r="J196" s="10" t="str">
        <f t="shared" si="18"/>
        <v>Excentricidad  maxima del 1.46%</v>
      </c>
    </row>
    <row r="197" spans="1:10" x14ac:dyDescent="0.25">
      <c r="A197" s="10" t="s">
        <v>281</v>
      </c>
      <c r="B197" s="13">
        <v>7730.8</v>
      </c>
      <c r="C197" s="13">
        <v>7772.4</v>
      </c>
      <c r="D197" s="13" t="str">
        <f t="shared" si="15"/>
        <v>I</v>
      </c>
      <c r="E197" s="14">
        <v>9.6949640287769794E-3</v>
      </c>
      <c r="F197" s="14">
        <v>1.35E-2</v>
      </c>
      <c r="G197" s="18">
        <f t="shared" si="19"/>
        <v>9.6949640287769794E-3</v>
      </c>
      <c r="H197" s="11">
        <f t="shared" si="16"/>
        <v>1.35</v>
      </c>
      <c r="I197" s="11">
        <v>7732.8</v>
      </c>
      <c r="J197" s="10" t="str">
        <f>"Excentricidad  maxima del "&amp;TEXT(F197,"0.00%")</f>
        <v>Excentricidad  maxima del 1.35%</v>
      </c>
    </row>
    <row r="198" spans="1:10" x14ac:dyDescent="0.25">
      <c r="A198" s="10" t="s">
        <v>282</v>
      </c>
      <c r="B198" s="13">
        <v>7774.6</v>
      </c>
      <c r="C198" s="13">
        <v>7813.4</v>
      </c>
      <c r="D198" s="13" t="str">
        <f t="shared" si="15"/>
        <v>I</v>
      </c>
      <c r="E198" s="14">
        <v>1.1075578406169601E-2</v>
      </c>
      <c r="F198" s="14">
        <v>1.6400000000000001E-2</v>
      </c>
      <c r="G198" s="18">
        <f t="shared" si="19"/>
        <v>1.1075578406169601E-2</v>
      </c>
      <c r="H198" s="11">
        <f t="shared" si="16"/>
        <v>1.6400000000000001</v>
      </c>
      <c r="I198" s="11">
        <v>7778</v>
      </c>
      <c r="J198" s="10" t="str">
        <f t="shared" ref="J198:J212" si="20">"Excentricidad  maxima del "&amp;TEXT(F198,"0.00%")</f>
        <v>Excentricidad  maxima del 1.64%</v>
      </c>
    </row>
    <row r="199" spans="1:10" x14ac:dyDescent="0.25">
      <c r="A199" s="10" t="s">
        <v>283</v>
      </c>
      <c r="B199" s="13">
        <v>7815.6</v>
      </c>
      <c r="C199" s="13">
        <v>7854.9</v>
      </c>
      <c r="D199" s="13" t="str">
        <f t="shared" si="15"/>
        <v>I</v>
      </c>
      <c r="E199" s="14">
        <v>1.0951269035532901E-2</v>
      </c>
      <c r="F199" s="14">
        <v>1.6899999999999998E-2</v>
      </c>
      <c r="G199" s="18">
        <f t="shared" si="19"/>
        <v>1.0951269035532901E-2</v>
      </c>
      <c r="H199" s="11">
        <f t="shared" si="16"/>
        <v>1.69</v>
      </c>
      <c r="I199" s="11">
        <v>7818.1</v>
      </c>
      <c r="J199" s="10" t="str">
        <f t="shared" si="20"/>
        <v>Excentricidad  maxima del 1.69%</v>
      </c>
    </row>
    <row r="200" spans="1:10" x14ac:dyDescent="0.25">
      <c r="A200" s="10" t="s">
        <v>284</v>
      </c>
      <c r="B200" s="13">
        <v>7857.1</v>
      </c>
      <c r="C200" s="13">
        <v>7895.9</v>
      </c>
      <c r="D200" s="13" t="str">
        <f t="shared" si="15"/>
        <v>I</v>
      </c>
      <c r="E200" s="14">
        <v>1.08532133676092E-2</v>
      </c>
      <c r="F200" s="14">
        <v>1.7299999999999999E-2</v>
      </c>
      <c r="G200" s="18">
        <f t="shared" si="19"/>
        <v>1.08532133676092E-2</v>
      </c>
      <c r="H200" s="11">
        <f t="shared" si="16"/>
        <v>1.73</v>
      </c>
      <c r="I200" s="11">
        <v>7857.1</v>
      </c>
      <c r="J200" s="10" t="str">
        <f t="shared" si="20"/>
        <v>Excentricidad  maxima del 1.73%</v>
      </c>
    </row>
    <row r="201" spans="1:10" x14ac:dyDescent="0.25">
      <c r="A201" s="10" t="s">
        <v>285</v>
      </c>
      <c r="B201" s="13">
        <v>7898.1</v>
      </c>
      <c r="C201" s="13">
        <v>7938.4</v>
      </c>
      <c r="D201" s="13" t="str">
        <f t="shared" si="15"/>
        <v>I</v>
      </c>
      <c r="E201" s="14">
        <v>8.6425742574257405E-3</v>
      </c>
      <c r="F201" s="14">
        <v>1.23E-2</v>
      </c>
      <c r="G201" s="18">
        <f t="shared" si="19"/>
        <v>8.6425742574257405E-3</v>
      </c>
      <c r="H201" s="11">
        <f t="shared" si="16"/>
        <v>1.23</v>
      </c>
      <c r="I201" s="11">
        <v>7922</v>
      </c>
      <c r="J201" s="10" t="str">
        <f t="shared" si="20"/>
        <v>Excentricidad  maxima del 1.23%</v>
      </c>
    </row>
    <row r="202" spans="1:10" x14ac:dyDescent="0.25">
      <c r="A202" s="10" t="s">
        <v>286</v>
      </c>
      <c r="B202" s="13">
        <v>7940.6</v>
      </c>
      <c r="C202" s="13">
        <v>7981.3</v>
      </c>
      <c r="D202" s="13" t="str">
        <f t="shared" si="15"/>
        <v>I</v>
      </c>
      <c r="E202" s="14">
        <v>1.0216911764705801E-2</v>
      </c>
      <c r="F202" s="14">
        <v>1.5299999999999999E-2</v>
      </c>
      <c r="G202" s="18">
        <f t="shared" si="19"/>
        <v>1.0216911764705801E-2</v>
      </c>
      <c r="H202" s="11">
        <f t="shared" si="16"/>
        <v>1.53</v>
      </c>
      <c r="I202" s="11">
        <v>7980.9</v>
      </c>
      <c r="J202" s="10" t="str">
        <f t="shared" si="20"/>
        <v>Excentricidad  maxima del 1.53%</v>
      </c>
    </row>
    <row r="203" spans="1:10" x14ac:dyDescent="0.25">
      <c r="A203" s="10" t="s">
        <v>287</v>
      </c>
      <c r="B203" s="13">
        <v>7983.5</v>
      </c>
      <c r="C203" s="13">
        <v>8024.4</v>
      </c>
      <c r="D203" s="13" t="str">
        <f t="shared" si="15"/>
        <v>I</v>
      </c>
      <c r="E203" s="14">
        <v>8.5175609756097601E-3</v>
      </c>
      <c r="F203" s="14">
        <v>1.29E-2</v>
      </c>
      <c r="G203" s="18">
        <f t="shared" si="19"/>
        <v>8.5175609756097601E-3</v>
      </c>
      <c r="H203" s="11">
        <f t="shared" si="16"/>
        <v>1.29</v>
      </c>
      <c r="I203" s="11">
        <v>7985.8</v>
      </c>
      <c r="J203" s="10" t="str">
        <f t="shared" si="20"/>
        <v>Excentricidad  maxima del 1.29%</v>
      </c>
    </row>
    <row r="204" spans="1:10" x14ac:dyDescent="0.25">
      <c r="A204" s="10" t="s">
        <v>288</v>
      </c>
      <c r="B204" s="13">
        <v>8026.6</v>
      </c>
      <c r="C204" s="13">
        <v>8064.8</v>
      </c>
      <c r="D204" s="13" t="str">
        <f t="shared" si="15"/>
        <v>I</v>
      </c>
      <c r="E204" s="14">
        <v>9.8587467362924192E-3</v>
      </c>
      <c r="F204" s="14">
        <v>1.38E-2</v>
      </c>
      <c r="G204" s="18">
        <f t="shared" si="19"/>
        <v>9.8587467362924192E-3</v>
      </c>
      <c r="H204" s="11">
        <f t="shared" si="16"/>
        <v>1.38</v>
      </c>
      <c r="I204" s="11">
        <v>8037.7</v>
      </c>
      <c r="J204" s="10" t="str">
        <f t="shared" si="20"/>
        <v>Excentricidad  maxima del 1.38%</v>
      </c>
    </row>
    <row r="205" spans="1:10" x14ac:dyDescent="0.25">
      <c r="A205" s="10" t="s">
        <v>289</v>
      </c>
      <c r="B205" s="13">
        <v>8067</v>
      </c>
      <c r="C205" s="13">
        <v>8106.9</v>
      </c>
      <c r="D205" s="13" t="str">
        <f t="shared" si="15"/>
        <v>I</v>
      </c>
      <c r="E205" s="14">
        <v>9.0460000000000002E-3</v>
      </c>
      <c r="F205" s="14">
        <v>1.29E-2</v>
      </c>
      <c r="G205" s="18">
        <f t="shared" si="19"/>
        <v>9.0460000000000002E-3</v>
      </c>
      <c r="H205" s="11">
        <f t="shared" si="16"/>
        <v>1.29</v>
      </c>
      <c r="I205" s="11">
        <v>8067.4</v>
      </c>
      <c r="J205" s="10" t="str">
        <f t="shared" si="20"/>
        <v>Excentricidad  maxima del 1.29%</v>
      </c>
    </row>
    <row r="206" spans="1:10" x14ac:dyDescent="0.25">
      <c r="A206" s="10" t="s">
        <v>290</v>
      </c>
      <c r="B206" s="13">
        <v>8109.1</v>
      </c>
      <c r="C206" s="13">
        <v>8147.7</v>
      </c>
      <c r="D206" s="13" t="str">
        <f t="shared" si="15"/>
        <v>I</v>
      </c>
      <c r="E206" s="14">
        <v>9.2604651162790704E-3</v>
      </c>
      <c r="F206" s="14">
        <v>1.49E-2</v>
      </c>
      <c r="G206" s="18">
        <f t="shared" si="19"/>
        <v>9.2604651162790704E-3</v>
      </c>
      <c r="H206" s="11">
        <f t="shared" si="16"/>
        <v>1.49</v>
      </c>
      <c r="I206" s="11">
        <v>8146.7</v>
      </c>
      <c r="J206" s="10" t="str">
        <f t="shared" si="20"/>
        <v>Excentricidad  maxima del 1.49%</v>
      </c>
    </row>
    <row r="207" spans="1:10" x14ac:dyDescent="0.25">
      <c r="A207" s="10" t="s">
        <v>291</v>
      </c>
      <c r="B207" s="13">
        <v>8149.9</v>
      </c>
      <c r="C207" s="13">
        <v>8189.2</v>
      </c>
      <c r="D207" s="13" t="str">
        <f t="shared" si="15"/>
        <v>I</v>
      </c>
      <c r="E207" s="14">
        <v>1.1684010152284201E-2</v>
      </c>
      <c r="F207" s="14">
        <v>1.7399999999999999E-2</v>
      </c>
      <c r="G207" s="18">
        <f t="shared" si="19"/>
        <v>1.1684010152284201E-2</v>
      </c>
      <c r="H207" s="11">
        <f t="shared" si="16"/>
        <v>1.7399999999999998</v>
      </c>
      <c r="I207" s="11">
        <v>8150.3</v>
      </c>
      <c r="J207" s="10" t="str">
        <f t="shared" si="20"/>
        <v>Excentricidad  maxima del 1.74%</v>
      </c>
    </row>
    <row r="208" spans="1:10" x14ac:dyDescent="0.25">
      <c r="A208" s="10" t="s">
        <v>292</v>
      </c>
      <c r="B208" s="13">
        <v>8191.4</v>
      </c>
      <c r="C208" s="13">
        <v>8231</v>
      </c>
      <c r="D208" s="13" t="str">
        <f t="shared" si="15"/>
        <v>I</v>
      </c>
      <c r="E208" s="14">
        <v>9.6261964735516303E-3</v>
      </c>
      <c r="F208" s="14">
        <v>1.32E-2</v>
      </c>
      <c r="G208" s="18">
        <f t="shared" si="19"/>
        <v>9.6261964735516303E-3</v>
      </c>
      <c r="H208" s="11">
        <f t="shared" si="16"/>
        <v>1.32</v>
      </c>
      <c r="I208" s="11">
        <v>8220.5</v>
      </c>
      <c r="J208" s="10" t="str">
        <f t="shared" si="20"/>
        <v>Excentricidad  maxima del 1.32%</v>
      </c>
    </row>
    <row r="209" spans="1:10" x14ac:dyDescent="0.25">
      <c r="A209" s="10" t="s">
        <v>293</v>
      </c>
      <c r="B209" s="13">
        <v>8233.2000000000007</v>
      </c>
      <c r="C209" s="13">
        <v>8272.7999999999993</v>
      </c>
      <c r="D209" s="13" t="str">
        <f t="shared" si="15"/>
        <v>I</v>
      </c>
      <c r="E209" s="14">
        <v>1.0873803526448299E-2</v>
      </c>
      <c r="F209" s="14">
        <v>1.4200000000000001E-2</v>
      </c>
      <c r="G209" s="18">
        <f t="shared" si="19"/>
        <v>1.0873803526448299E-2</v>
      </c>
      <c r="H209" s="11">
        <f t="shared" si="16"/>
        <v>1.4200000000000002</v>
      </c>
      <c r="I209" s="11">
        <v>8237.9</v>
      </c>
      <c r="J209" s="10" t="str">
        <f t="shared" si="20"/>
        <v>Excentricidad  maxima del 1.42%</v>
      </c>
    </row>
    <row r="210" spans="1:10" x14ac:dyDescent="0.25">
      <c r="A210" s="10" t="s">
        <v>294</v>
      </c>
      <c r="B210" s="13">
        <v>8275</v>
      </c>
      <c r="C210" s="13">
        <v>8315.2000000000007</v>
      </c>
      <c r="D210" s="13" t="str">
        <f t="shared" si="15"/>
        <v>I</v>
      </c>
      <c r="E210" s="14">
        <v>8.3047146401985204E-3</v>
      </c>
      <c r="F210" s="14">
        <v>1.11E-2</v>
      </c>
      <c r="G210" s="18">
        <f t="shared" si="19"/>
        <v>8.3047146401985204E-3</v>
      </c>
      <c r="H210" s="11">
        <f t="shared" si="16"/>
        <v>1.1100000000000001</v>
      </c>
      <c r="I210" s="11">
        <v>8301.1</v>
      </c>
      <c r="J210" s="10" t="str">
        <f t="shared" si="20"/>
        <v>Excentricidad  maxima del 1.11%</v>
      </c>
    </row>
    <row r="211" spans="1:10" x14ac:dyDescent="0.25">
      <c r="A211" s="10" t="s">
        <v>295</v>
      </c>
      <c r="B211" s="13">
        <v>8317.4</v>
      </c>
      <c r="C211" s="13">
        <v>8356.4</v>
      </c>
      <c r="D211" s="13" t="str">
        <f t="shared" si="15"/>
        <v>I</v>
      </c>
      <c r="E211" s="14">
        <v>1.0410997442455199E-2</v>
      </c>
      <c r="F211" s="14">
        <v>1.49E-2</v>
      </c>
      <c r="G211" s="18">
        <f t="shared" si="19"/>
        <v>1.0410997442455199E-2</v>
      </c>
      <c r="H211" s="11">
        <f t="shared" si="16"/>
        <v>1.49</v>
      </c>
      <c r="I211" s="11">
        <v>8353.4</v>
      </c>
      <c r="J211" s="10" t="str">
        <f t="shared" si="20"/>
        <v>Excentricidad  maxima del 1.49%</v>
      </c>
    </row>
    <row r="212" spans="1:10" x14ac:dyDescent="0.25">
      <c r="A212" s="10" t="s">
        <v>296</v>
      </c>
      <c r="B212" s="13">
        <v>8358.6</v>
      </c>
      <c r="C212" s="13">
        <v>8399.4</v>
      </c>
      <c r="D212" s="13" t="str">
        <f t="shared" si="15"/>
        <v>I</v>
      </c>
      <c r="E212" s="14">
        <v>7.7447432762836202E-3</v>
      </c>
      <c r="F212" s="14">
        <v>1.26E-2</v>
      </c>
      <c r="G212" s="18">
        <f t="shared" si="19"/>
        <v>7.7447432762836202E-3</v>
      </c>
      <c r="H212" s="11">
        <f t="shared" si="16"/>
        <v>1.26</v>
      </c>
      <c r="I212" s="11">
        <v>8364.7000000000007</v>
      </c>
      <c r="J212" s="10" t="str">
        <f t="shared" si="20"/>
        <v>Excentricidad  maxima del 1.26%</v>
      </c>
    </row>
    <row r="213" spans="1:10" x14ac:dyDescent="0.25">
      <c r="A213" s="10" t="s">
        <v>297</v>
      </c>
      <c r="B213" s="13">
        <v>8401.6</v>
      </c>
      <c r="C213" s="13">
        <v>8442.4</v>
      </c>
      <c r="D213" s="13" t="str">
        <f t="shared" si="15"/>
        <v>I</v>
      </c>
      <c r="E213" s="14">
        <v>7.4865525672371501E-3</v>
      </c>
      <c r="F213" s="14">
        <v>1.09E-2</v>
      </c>
      <c r="G213" s="18">
        <f t="shared" si="19"/>
        <v>7.4865525672371501E-3</v>
      </c>
      <c r="H213" s="11">
        <f t="shared" si="16"/>
        <v>1.0900000000000001</v>
      </c>
      <c r="I213" s="11">
        <v>8402.7999999999993</v>
      </c>
      <c r="J213" s="10" t="str">
        <f>"Excentricidad  maxima del "&amp;TEXT(F213,"0.00%")</f>
        <v>Excentricidad  maxima del 1.09%</v>
      </c>
    </row>
    <row r="214" spans="1:10" x14ac:dyDescent="0.25">
      <c r="A214" s="10" t="s">
        <v>298</v>
      </c>
      <c r="B214" s="13">
        <v>8444.6</v>
      </c>
      <c r="C214" s="13">
        <v>8482.7000000000007</v>
      </c>
      <c r="D214" s="13" t="str">
        <f t="shared" si="15"/>
        <v>II</v>
      </c>
      <c r="E214" s="14">
        <v>1.3701570680628199E-2</v>
      </c>
      <c r="F214" s="14">
        <v>2.3400000000000001E-2</v>
      </c>
      <c r="G214" s="18">
        <f t="shared" si="19"/>
        <v>1.3701570680628199E-2</v>
      </c>
      <c r="H214" s="11">
        <f t="shared" si="16"/>
        <v>2.34</v>
      </c>
      <c r="I214" s="11">
        <v>8481.2999999999993</v>
      </c>
      <c r="J214" s="10" t="str">
        <f t="shared" ref="J214:J232" si="21">"Excentricidad  maxima del "&amp;TEXT(F214,"0.00%")</f>
        <v>Excentricidad  maxima del 2.34%</v>
      </c>
    </row>
    <row r="215" spans="1:10" x14ac:dyDescent="0.25">
      <c r="A215" s="10" t="s">
        <v>299</v>
      </c>
      <c r="B215" s="13">
        <v>8484.9</v>
      </c>
      <c r="C215" s="13">
        <v>8524.7999999999993</v>
      </c>
      <c r="D215" s="13" t="str">
        <f t="shared" si="15"/>
        <v>II</v>
      </c>
      <c r="E215" s="14">
        <v>2.0337499999999901E-2</v>
      </c>
      <c r="F215" s="14">
        <v>3.4599999999999999E-2</v>
      </c>
      <c r="G215" s="18">
        <f t="shared" si="19"/>
        <v>2.0337499999999901E-2</v>
      </c>
      <c r="H215" s="11">
        <f t="shared" si="16"/>
        <v>3.46</v>
      </c>
      <c r="I215" s="11">
        <v>8490.6</v>
      </c>
      <c r="J215" s="10" t="str">
        <f t="shared" si="21"/>
        <v>Excentricidad  maxima del 3.46%</v>
      </c>
    </row>
    <row r="216" spans="1:10" x14ac:dyDescent="0.25">
      <c r="A216" s="10" t="s">
        <v>300</v>
      </c>
      <c r="B216" s="13">
        <v>8527</v>
      </c>
      <c r="C216" s="13">
        <v>8567.7000000000007</v>
      </c>
      <c r="D216" s="13" t="str">
        <f t="shared" si="15"/>
        <v>II</v>
      </c>
      <c r="E216" s="14">
        <v>1.7936764705882301E-2</v>
      </c>
      <c r="F216" s="14">
        <v>2.47E-2</v>
      </c>
      <c r="G216" s="18">
        <f t="shared" si="19"/>
        <v>1.7936764705882301E-2</v>
      </c>
      <c r="H216" s="11">
        <f t="shared" si="16"/>
        <v>2.4699999999999998</v>
      </c>
      <c r="I216" s="11">
        <v>8550.7999999999993</v>
      </c>
      <c r="J216" s="10" t="str">
        <f t="shared" si="21"/>
        <v>Excentricidad  maxima del 2.47%</v>
      </c>
    </row>
    <row r="217" spans="1:10" x14ac:dyDescent="0.25">
      <c r="A217" s="10" t="s">
        <v>301</v>
      </c>
      <c r="B217" s="13">
        <v>8569.9</v>
      </c>
      <c r="C217" s="13">
        <v>8607.7999999999993</v>
      </c>
      <c r="D217" s="13" t="str">
        <f t="shared" si="15"/>
        <v>I</v>
      </c>
      <c r="E217" s="14">
        <v>1.20631578947368E-2</v>
      </c>
      <c r="F217" s="14">
        <v>1.6899999999999998E-2</v>
      </c>
      <c r="G217" s="18">
        <f t="shared" si="19"/>
        <v>1.20631578947368E-2</v>
      </c>
      <c r="H217" s="11">
        <f t="shared" si="16"/>
        <v>1.69</v>
      </c>
      <c r="I217" s="11">
        <v>8569.9</v>
      </c>
      <c r="J217" s="10" t="str">
        <f t="shared" si="21"/>
        <v>Excentricidad  maxima del 1.69%</v>
      </c>
    </row>
    <row r="218" spans="1:10" x14ac:dyDescent="0.25">
      <c r="A218" s="10" t="s">
        <v>302</v>
      </c>
      <c r="B218" s="13">
        <v>8610</v>
      </c>
      <c r="C218" s="13">
        <v>8650.2000000000007</v>
      </c>
      <c r="D218" s="13" t="str">
        <f t="shared" si="15"/>
        <v>I</v>
      </c>
      <c r="E218" s="14">
        <v>1.39764267990074E-2</v>
      </c>
      <c r="F218" s="14">
        <v>1.8800000000000001E-2</v>
      </c>
      <c r="G218" s="18">
        <f t="shared" si="19"/>
        <v>1.39764267990074E-2</v>
      </c>
      <c r="H218" s="11">
        <f t="shared" si="16"/>
        <v>1.8800000000000001</v>
      </c>
      <c r="I218" s="11">
        <v>8618.7999999999993</v>
      </c>
      <c r="J218" s="10" t="str">
        <f t="shared" si="21"/>
        <v>Excentricidad  maxima del 1.88%</v>
      </c>
    </row>
    <row r="219" spans="1:10" x14ac:dyDescent="0.25">
      <c r="A219" s="10" t="s">
        <v>303</v>
      </c>
      <c r="B219" s="13">
        <v>8652.4</v>
      </c>
      <c r="C219" s="13">
        <v>8693.7000000000007</v>
      </c>
      <c r="D219" s="13" t="str">
        <f>IF((F219)&lt;2%,"I",IF((F219)&lt;5%,"II","III"))</f>
        <v>I</v>
      </c>
      <c r="E219" s="14">
        <v>1.03876811594202E-2</v>
      </c>
      <c r="F219" s="14">
        <v>1.47E-2</v>
      </c>
      <c r="G219" s="18">
        <f t="shared" si="19"/>
        <v>1.03876811594202E-2</v>
      </c>
      <c r="H219" s="11">
        <f t="shared" ref="H219:H282" si="22">F219*100</f>
        <v>1.47</v>
      </c>
      <c r="I219" s="11">
        <v>8652.4</v>
      </c>
      <c r="J219" s="10" t="str">
        <f t="shared" si="21"/>
        <v>Excentricidad  maxima del 1.47%</v>
      </c>
    </row>
    <row r="220" spans="1:10" x14ac:dyDescent="0.25">
      <c r="A220" s="10" t="s">
        <v>304</v>
      </c>
      <c r="B220" s="13">
        <v>8695.9</v>
      </c>
      <c r="C220" s="13">
        <v>8735.7999999999993</v>
      </c>
      <c r="D220" s="13" t="str">
        <f>IF((F220)&lt;2%,"I",IF((F220)&lt;5%,"II","III"))</f>
        <v>I</v>
      </c>
      <c r="E220" s="14">
        <v>1.2423E-2</v>
      </c>
      <c r="F220" s="14">
        <v>1.5900000000000001E-2</v>
      </c>
      <c r="G220" s="18">
        <f t="shared" si="19"/>
        <v>1.2423E-2</v>
      </c>
      <c r="H220" s="11">
        <f t="shared" si="22"/>
        <v>1.59</v>
      </c>
      <c r="I220" s="11">
        <v>8727.7999999999993</v>
      </c>
      <c r="J220" s="10" t="str">
        <f t="shared" si="21"/>
        <v>Excentricidad  maxima del 1.59%</v>
      </c>
    </row>
    <row r="221" spans="1:10" x14ac:dyDescent="0.25">
      <c r="A221" s="10" t="s">
        <v>305</v>
      </c>
      <c r="B221" s="13">
        <v>8738</v>
      </c>
      <c r="C221" s="13">
        <v>8779.2000000000007</v>
      </c>
      <c r="D221" s="13" t="str">
        <f t="shared" ref="D221:D284" si="23">IF((F221)&lt;2%,"I",IF((F221)&lt;5%,"II","III"))</f>
        <v>I</v>
      </c>
      <c r="E221" s="14">
        <v>1.17370460048426E-2</v>
      </c>
      <c r="F221" s="14">
        <v>1.8100000000000002E-2</v>
      </c>
      <c r="G221" s="18">
        <f t="shared" si="19"/>
        <v>1.17370460048426E-2</v>
      </c>
      <c r="H221" s="11">
        <f t="shared" si="22"/>
        <v>1.81</v>
      </c>
      <c r="I221" s="11">
        <v>8739.2000000000007</v>
      </c>
      <c r="J221" s="10" t="str">
        <f t="shared" si="21"/>
        <v>Excentricidad  maxima del 1.81%</v>
      </c>
    </row>
    <row r="222" spans="1:10" x14ac:dyDescent="0.25">
      <c r="A222" s="10" t="s">
        <v>306</v>
      </c>
      <c r="B222" s="13">
        <v>8781.4</v>
      </c>
      <c r="C222" s="13">
        <v>8822.2000000000007</v>
      </c>
      <c r="D222" s="13" t="str">
        <f t="shared" si="23"/>
        <v>I</v>
      </c>
      <c r="E222" s="14">
        <v>1.36347188264058E-2</v>
      </c>
      <c r="F222" s="14">
        <v>1.7600000000000001E-2</v>
      </c>
      <c r="G222" s="18">
        <f t="shared" si="19"/>
        <v>1.36347188264058E-2</v>
      </c>
      <c r="H222" s="11">
        <f t="shared" si="22"/>
        <v>1.76</v>
      </c>
      <c r="I222" s="11">
        <v>8787.9</v>
      </c>
      <c r="J222" s="10" t="str">
        <f t="shared" si="21"/>
        <v>Excentricidad  maxima del 1.76%</v>
      </c>
    </row>
    <row r="223" spans="1:10" x14ac:dyDescent="0.25">
      <c r="A223" s="10" t="s">
        <v>307</v>
      </c>
      <c r="B223" s="13">
        <v>8824.4</v>
      </c>
      <c r="C223" s="13">
        <v>8863.9</v>
      </c>
      <c r="D223" s="13" t="str">
        <f t="shared" si="23"/>
        <v>I</v>
      </c>
      <c r="E223" s="14">
        <v>1.38131313131313E-2</v>
      </c>
      <c r="F223" s="14">
        <v>1.8200000000000001E-2</v>
      </c>
      <c r="G223" s="18">
        <f t="shared" si="19"/>
        <v>1.38131313131313E-2</v>
      </c>
      <c r="H223" s="11">
        <f t="shared" si="22"/>
        <v>1.82</v>
      </c>
      <c r="I223" s="11">
        <v>8824.4</v>
      </c>
      <c r="J223" s="10" t="str">
        <f t="shared" si="21"/>
        <v>Excentricidad  maxima del 1.82%</v>
      </c>
    </row>
    <row r="224" spans="1:10" x14ac:dyDescent="0.25">
      <c r="A224" s="10" t="s">
        <v>308</v>
      </c>
      <c r="B224" s="13">
        <v>8866.1</v>
      </c>
      <c r="C224" s="13">
        <v>8905</v>
      </c>
      <c r="D224" s="13" t="str">
        <f t="shared" si="23"/>
        <v>I</v>
      </c>
      <c r="E224" s="14">
        <v>1.1965128205128199E-2</v>
      </c>
      <c r="F224" s="14">
        <v>1.7500000000000002E-2</v>
      </c>
      <c r="G224" s="18">
        <f t="shared" si="19"/>
        <v>1.1965128205128199E-2</v>
      </c>
      <c r="H224" s="11">
        <f t="shared" si="22"/>
        <v>1.7500000000000002</v>
      </c>
      <c r="I224" s="11">
        <v>8892.2000000000007</v>
      </c>
      <c r="J224" s="10" t="str">
        <f t="shared" si="21"/>
        <v>Excentricidad  maxima del 1.75%</v>
      </c>
    </row>
    <row r="225" spans="1:10" x14ac:dyDescent="0.25">
      <c r="A225" s="10" t="s">
        <v>309</v>
      </c>
      <c r="B225" s="13">
        <v>8907.2000000000007</v>
      </c>
      <c r="C225" s="13">
        <v>8947.7000000000007</v>
      </c>
      <c r="D225" s="13" t="str">
        <f t="shared" si="23"/>
        <v>I</v>
      </c>
      <c r="E225" s="14">
        <v>1.0264778325123101E-2</v>
      </c>
      <c r="F225" s="14">
        <v>1.6400000000000001E-2</v>
      </c>
      <c r="G225" s="18">
        <f t="shared" si="19"/>
        <v>1.0264778325123101E-2</v>
      </c>
      <c r="H225" s="11">
        <f t="shared" si="22"/>
        <v>1.6400000000000001</v>
      </c>
      <c r="I225" s="11">
        <v>8907.5</v>
      </c>
      <c r="J225" s="10" t="str">
        <f t="shared" si="21"/>
        <v>Excentricidad  maxima del 1.64%</v>
      </c>
    </row>
    <row r="226" spans="1:10" x14ac:dyDescent="0.25">
      <c r="A226" s="10" t="s">
        <v>310</v>
      </c>
      <c r="B226" s="13">
        <v>8949.9</v>
      </c>
      <c r="C226" s="13">
        <v>8990.5</v>
      </c>
      <c r="D226" s="13" t="str">
        <f t="shared" si="23"/>
        <v>I</v>
      </c>
      <c r="E226" s="14">
        <v>9.0769041769041808E-3</v>
      </c>
      <c r="F226" s="14">
        <v>1.3599999999999999E-2</v>
      </c>
      <c r="G226" s="18">
        <f t="shared" si="19"/>
        <v>9.0769041769041808E-3</v>
      </c>
      <c r="H226" s="11">
        <f t="shared" si="22"/>
        <v>1.3599999999999999</v>
      </c>
      <c r="I226" s="11">
        <v>8990.2000000000007</v>
      </c>
      <c r="J226" s="10" t="str">
        <f t="shared" si="21"/>
        <v>Excentricidad  maxima del 1.36%</v>
      </c>
    </row>
    <row r="227" spans="1:10" x14ac:dyDescent="0.25">
      <c r="A227" s="10" t="s">
        <v>311</v>
      </c>
      <c r="B227" s="13">
        <v>8992.7000000000007</v>
      </c>
      <c r="C227" s="13">
        <v>9033.6</v>
      </c>
      <c r="D227" s="13" t="str">
        <f t="shared" si="23"/>
        <v>I</v>
      </c>
      <c r="E227" s="14">
        <v>1.2286341463414599E-2</v>
      </c>
      <c r="F227" s="14">
        <v>1.55E-2</v>
      </c>
      <c r="G227" s="18">
        <f t="shared" si="19"/>
        <v>1.2286341463414599E-2</v>
      </c>
      <c r="H227" s="11">
        <f t="shared" si="22"/>
        <v>1.55</v>
      </c>
      <c r="I227" s="11">
        <v>8996.5</v>
      </c>
      <c r="J227" s="10" t="str">
        <f t="shared" si="21"/>
        <v>Excentricidad  maxima del 1.55%</v>
      </c>
    </row>
    <row r="228" spans="1:10" x14ac:dyDescent="0.25">
      <c r="A228" s="10" t="s">
        <v>312</v>
      </c>
      <c r="B228" s="13">
        <v>9035.7999999999993</v>
      </c>
      <c r="C228" s="13">
        <v>9074.5</v>
      </c>
      <c r="D228" s="13" t="str">
        <f t="shared" si="23"/>
        <v>I</v>
      </c>
      <c r="E228" s="14">
        <v>8.2208762886597803E-3</v>
      </c>
      <c r="F228" s="14">
        <v>1.24E-2</v>
      </c>
      <c r="G228" s="18">
        <f t="shared" si="19"/>
        <v>8.2208762886597803E-3</v>
      </c>
      <c r="H228" s="11">
        <f t="shared" si="22"/>
        <v>1.24</v>
      </c>
      <c r="I228" s="11">
        <v>9040.2999999999993</v>
      </c>
      <c r="J228" s="10" t="str">
        <f t="shared" si="21"/>
        <v>Excentricidad  maxima del 1.24%</v>
      </c>
    </row>
    <row r="229" spans="1:10" x14ac:dyDescent="0.25">
      <c r="A229" s="10" t="s">
        <v>313</v>
      </c>
      <c r="B229" s="13">
        <v>9076.7000000000007</v>
      </c>
      <c r="C229" s="13">
        <v>9113.7000000000007</v>
      </c>
      <c r="D229" s="13" t="str">
        <f t="shared" si="23"/>
        <v>I</v>
      </c>
      <c r="E229" s="14">
        <v>8.6849056603773601E-3</v>
      </c>
      <c r="F229" s="14">
        <v>1.18E-2</v>
      </c>
      <c r="G229" s="18">
        <f t="shared" si="19"/>
        <v>8.6849056603773601E-3</v>
      </c>
      <c r="H229" s="11">
        <f t="shared" si="22"/>
        <v>1.18</v>
      </c>
      <c r="I229" s="11">
        <v>9077.6</v>
      </c>
      <c r="J229" s="10" t="str">
        <f t="shared" si="21"/>
        <v>Excentricidad  maxima del 1.18%</v>
      </c>
    </row>
    <row r="230" spans="1:10" x14ac:dyDescent="0.25">
      <c r="A230" s="10" t="s">
        <v>314</v>
      </c>
      <c r="B230" s="13">
        <v>9115.9</v>
      </c>
      <c r="C230" s="13">
        <v>9156.7999999999993</v>
      </c>
      <c r="D230" s="13" t="str">
        <f t="shared" si="23"/>
        <v>I</v>
      </c>
      <c r="E230" s="14">
        <v>8.9573170731707397E-3</v>
      </c>
      <c r="F230" s="14">
        <v>1.3599999999999999E-2</v>
      </c>
      <c r="G230" s="18">
        <f t="shared" si="19"/>
        <v>8.9573170731707397E-3</v>
      </c>
      <c r="H230" s="11">
        <f t="shared" si="22"/>
        <v>1.3599999999999999</v>
      </c>
      <c r="I230" s="11">
        <v>9145.2999999999993</v>
      </c>
      <c r="J230" s="10" t="str">
        <f t="shared" si="21"/>
        <v>Excentricidad  maxima del 1.36%</v>
      </c>
    </row>
    <row r="231" spans="1:10" x14ac:dyDescent="0.25">
      <c r="A231" s="10" t="s">
        <v>315</v>
      </c>
      <c r="B231" s="13">
        <v>9159</v>
      </c>
      <c r="C231" s="13">
        <v>9199.2000000000007</v>
      </c>
      <c r="D231" s="13" t="str">
        <f t="shared" si="23"/>
        <v>I</v>
      </c>
      <c r="E231" s="14">
        <v>6.9071960297766802E-3</v>
      </c>
      <c r="F231" s="14">
        <v>1.0800000000000001E-2</v>
      </c>
      <c r="G231" s="18">
        <f t="shared" si="19"/>
        <v>6.9071960297766802E-3</v>
      </c>
      <c r="H231" s="11">
        <f t="shared" si="22"/>
        <v>1.08</v>
      </c>
      <c r="I231" s="11">
        <v>9160.4</v>
      </c>
      <c r="J231" s="10" t="str">
        <f t="shared" si="21"/>
        <v>Excentricidad  maxima del 1.08%</v>
      </c>
    </row>
    <row r="232" spans="1:10" x14ac:dyDescent="0.25">
      <c r="A232" s="10" t="s">
        <v>316</v>
      </c>
      <c r="B232" s="13">
        <v>9201.4</v>
      </c>
      <c r="C232" s="13">
        <v>9239.7000000000007</v>
      </c>
      <c r="D232" s="13" t="str">
        <f t="shared" si="23"/>
        <v>I</v>
      </c>
      <c r="E232" s="14">
        <v>1.0743229166666601E-2</v>
      </c>
      <c r="F232" s="14">
        <v>1.44E-2</v>
      </c>
      <c r="G232" s="18">
        <f t="shared" si="19"/>
        <v>1.0743229166666601E-2</v>
      </c>
      <c r="H232" s="11">
        <f t="shared" si="22"/>
        <v>1.44</v>
      </c>
      <c r="I232" s="11">
        <v>9230</v>
      </c>
      <c r="J232" s="10" t="str">
        <f t="shared" si="21"/>
        <v>Excentricidad  maxima del 1.44%</v>
      </c>
    </row>
    <row r="233" spans="1:10" x14ac:dyDescent="0.25">
      <c r="A233" s="10" t="s">
        <v>317</v>
      </c>
      <c r="B233" s="13">
        <v>9241.9</v>
      </c>
      <c r="C233" s="13">
        <v>9282.2999999999993</v>
      </c>
      <c r="D233" s="13" t="str">
        <f t="shared" si="23"/>
        <v>I</v>
      </c>
      <c r="E233" s="14">
        <v>8.7560493827160499E-3</v>
      </c>
      <c r="F233" s="14">
        <v>1.2999999999999999E-2</v>
      </c>
      <c r="G233" s="18">
        <f t="shared" si="19"/>
        <v>8.7560493827160499E-3</v>
      </c>
      <c r="H233" s="11">
        <f t="shared" si="22"/>
        <v>1.3</v>
      </c>
      <c r="I233" s="11">
        <v>9247.4</v>
      </c>
      <c r="J233" s="10" t="str">
        <f>"Excentricidad  maxima del "&amp;TEXT(F233,"0.00%")</f>
        <v>Excentricidad  maxima del 1.30%</v>
      </c>
    </row>
    <row r="234" spans="1:10" x14ac:dyDescent="0.25">
      <c r="A234" s="10" t="s">
        <v>318</v>
      </c>
      <c r="B234" s="13">
        <v>9284.5</v>
      </c>
      <c r="C234" s="13">
        <v>9326</v>
      </c>
      <c r="D234" s="13" t="str">
        <f t="shared" si="23"/>
        <v>I</v>
      </c>
      <c r="E234" s="14">
        <v>1.11884615384615E-2</v>
      </c>
      <c r="F234" s="14">
        <v>1.5599999999999999E-2</v>
      </c>
      <c r="G234" s="18">
        <f t="shared" si="19"/>
        <v>1.11884615384615E-2</v>
      </c>
      <c r="H234" s="11">
        <f t="shared" si="22"/>
        <v>1.5599999999999998</v>
      </c>
      <c r="I234" s="11">
        <v>9286.7000000000007</v>
      </c>
      <c r="J234" s="10" t="str">
        <f t="shared" ref="J234:J252" si="24">"Excentricidad  maxima del "&amp;TEXT(F234,"0.00%")</f>
        <v>Excentricidad  maxima del 1.56%</v>
      </c>
    </row>
    <row r="235" spans="1:10" x14ac:dyDescent="0.25">
      <c r="A235" s="10" t="s">
        <v>319</v>
      </c>
      <c r="B235" s="13">
        <v>9328.2000000000007</v>
      </c>
      <c r="C235" s="13">
        <v>9369</v>
      </c>
      <c r="D235" s="13" t="str">
        <f t="shared" si="23"/>
        <v>I</v>
      </c>
      <c r="E235" s="14">
        <v>1.03356968215158E-2</v>
      </c>
      <c r="F235" s="14">
        <v>1.8800000000000001E-2</v>
      </c>
      <c r="G235" s="18">
        <f t="shared" si="19"/>
        <v>1.03356968215158E-2</v>
      </c>
      <c r="H235" s="11">
        <f t="shared" si="22"/>
        <v>1.8800000000000001</v>
      </c>
      <c r="I235" s="11">
        <v>9328.2999999999993</v>
      </c>
      <c r="J235" s="10" t="str">
        <f t="shared" si="24"/>
        <v>Excentricidad  maxima del 1.88%</v>
      </c>
    </row>
    <row r="236" spans="1:10" x14ac:dyDescent="0.25">
      <c r="A236" s="10" t="s">
        <v>320</v>
      </c>
      <c r="B236" s="13">
        <v>9371.2000000000007</v>
      </c>
      <c r="C236" s="13">
        <v>9408.2999999999993</v>
      </c>
      <c r="D236" s="13" t="str">
        <f t="shared" si="23"/>
        <v>I</v>
      </c>
      <c r="E236" s="14">
        <v>1.0154032258064501E-2</v>
      </c>
      <c r="F236" s="14">
        <v>1.89E-2</v>
      </c>
      <c r="G236" s="18">
        <f t="shared" si="19"/>
        <v>1.0154032258064501E-2</v>
      </c>
      <c r="H236" s="11">
        <f t="shared" si="22"/>
        <v>1.8900000000000001</v>
      </c>
      <c r="I236" s="11">
        <v>9375.1</v>
      </c>
      <c r="J236" s="10" t="str">
        <f t="shared" si="24"/>
        <v>Excentricidad  maxima del 1.89%</v>
      </c>
    </row>
    <row r="237" spans="1:10" x14ac:dyDescent="0.25">
      <c r="A237" s="10" t="s">
        <v>321</v>
      </c>
      <c r="B237" s="13">
        <v>9410.5</v>
      </c>
      <c r="C237" s="13">
        <v>9451.7999999999993</v>
      </c>
      <c r="D237" s="13" t="str">
        <f t="shared" si="23"/>
        <v>I</v>
      </c>
      <c r="E237" s="14">
        <v>1.0795893719806699E-2</v>
      </c>
      <c r="F237" s="14">
        <v>1.7000000000000001E-2</v>
      </c>
      <c r="G237" s="18">
        <f t="shared" si="19"/>
        <v>1.0795893719806699E-2</v>
      </c>
      <c r="H237" s="11">
        <f t="shared" si="22"/>
        <v>1.7000000000000002</v>
      </c>
      <c r="I237" s="11">
        <v>9423</v>
      </c>
      <c r="J237" s="10" t="str">
        <f t="shared" si="24"/>
        <v>Excentricidad  maxima del 1.70%</v>
      </c>
    </row>
    <row r="238" spans="1:10" x14ac:dyDescent="0.25">
      <c r="A238" s="10" t="s">
        <v>322</v>
      </c>
      <c r="B238" s="13">
        <v>9454</v>
      </c>
      <c r="C238" s="13">
        <v>9493.4</v>
      </c>
      <c r="D238" s="13" t="str">
        <f t="shared" si="23"/>
        <v>I</v>
      </c>
      <c r="E238" s="14">
        <v>9.9070886075949393E-3</v>
      </c>
      <c r="F238" s="14">
        <v>1.47E-2</v>
      </c>
      <c r="G238" s="18">
        <f t="shared" si="19"/>
        <v>9.9070886075949393E-3</v>
      </c>
      <c r="H238" s="11">
        <f t="shared" si="22"/>
        <v>1.47</v>
      </c>
      <c r="I238" s="11">
        <v>9492</v>
      </c>
      <c r="J238" s="10" t="str">
        <f t="shared" si="24"/>
        <v>Excentricidad  maxima del 1.47%</v>
      </c>
    </row>
    <row r="239" spans="1:10" x14ac:dyDescent="0.25">
      <c r="A239" s="10" t="s">
        <v>323</v>
      </c>
      <c r="B239" s="13">
        <v>9495.6</v>
      </c>
      <c r="C239" s="13">
        <v>9534.2000000000007</v>
      </c>
      <c r="D239" s="13" t="str">
        <f t="shared" si="23"/>
        <v>I</v>
      </c>
      <c r="E239" s="14">
        <v>9.3423772609819104E-3</v>
      </c>
      <c r="F239" s="14">
        <v>1.3599999999999999E-2</v>
      </c>
      <c r="G239" s="18">
        <f t="shared" si="19"/>
        <v>9.3423772609819104E-3</v>
      </c>
      <c r="H239" s="11">
        <f t="shared" si="22"/>
        <v>1.3599999999999999</v>
      </c>
      <c r="I239" s="11">
        <v>9533.2000000000007</v>
      </c>
      <c r="J239" s="10" t="str">
        <f t="shared" si="24"/>
        <v>Excentricidad  maxima del 1.36%</v>
      </c>
    </row>
    <row r="240" spans="1:10" x14ac:dyDescent="0.25">
      <c r="A240" s="10" t="s">
        <v>324</v>
      </c>
      <c r="B240" s="13">
        <v>9536.4</v>
      </c>
      <c r="C240" s="13">
        <v>9577.5</v>
      </c>
      <c r="D240" s="13" t="str">
        <f t="shared" si="23"/>
        <v>I</v>
      </c>
      <c r="E240" s="14">
        <v>9.4514563106796196E-3</v>
      </c>
      <c r="F240" s="14">
        <v>1.5100000000000001E-2</v>
      </c>
      <c r="G240" s="18">
        <f t="shared" si="19"/>
        <v>9.4514563106796196E-3</v>
      </c>
      <c r="H240" s="11">
        <f t="shared" si="22"/>
        <v>1.51</v>
      </c>
      <c r="I240" s="11">
        <v>9537.6</v>
      </c>
      <c r="J240" s="10" t="str">
        <f t="shared" si="24"/>
        <v>Excentricidad  maxima del 1.51%</v>
      </c>
    </row>
    <row r="241" spans="1:10" x14ac:dyDescent="0.25">
      <c r="A241" s="10" t="s">
        <v>325</v>
      </c>
      <c r="B241" s="13">
        <v>9579.7000000000007</v>
      </c>
      <c r="C241" s="13">
        <v>9621.6</v>
      </c>
      <c r="D241" s="13" t="str">
        <f t="shared" si="23"/>
        <v>I</v>
      </c>
      <c r="E241" s="14">
        <v>1.15797619047619E-2</v>
      </c>
      <c r="F241" s="14">
        <v>1.4200000000000001E-2</v>
      </c>
      <c r="G241" s="18">
        <f t="shared" si="19"/>
        <v>1.15797619047619E-2</v>
      </c>
      <c r="H241" s="11">
        <f t="shared" si="22"/>
        <v>1.4200000000000002</v>
      </c>
      <c r="I241" s="11">
        <v>9584.6</v>
      </c>
      <c r="J241" s="10" t="str">
        <f t="shared" si="24"/>
        <v>Excentricidad  maxima del 1.42%</v>
      </c>
    </row>
    <row r="242" spans="1:10" x14ac:dyDescent="0.25">
      <c r="A242" s="10" t="s">
        <v>326</v>
      </c>
      <c r="B242" s="13">
        <v>9623.7999999999993</v>
      </c>
      <c r="C242" s="13">
        <v>9663.2999999999993</v>
      </c>
      <c r="D242" s="13" t="str">
        <f t="shared" si="23"/>
        <v>I</v>
      </c>
      <c r="E242" s="14">
        <v>1.02489898989899E-2</v>
      </c>
      <c r="F242" s="14">
        <v>1.6E-2</v>
      </c>
      <c r="G242" s="18">
        <f t="shared" si="19"/>
        <v>1.02489898989899E-2</v>
      </c>
      <c r="H242" s="11">
        <f t="shared" si="22"/>
        <v>1.6</v>
      </c>
      <c r="I242" s="11">
        <v>9635.7999999999993</v>
      </c>
      <c r="J242" s="10" t="str">
        <f t="shared" si="24"/>
        <v>Excentricidad  maxima del 1.60%</v>
      </c>
    </row>
    <row r="243" spans="1:10" x14ac:dyDescent="0.25">
      <c r="A243" s="10" t="s">
        <v>327</v>
      </c>
      <c r="B243" s="13">
        <v>9665.5</v>
      </c>
      <c r="C243" s="13">
        <v>9706.6</v>
      </c>
      <c r="D243" s="13" t="str">
        <f t="shared" si="23"/>
        <v>I</v>
      </c>
      <c r="E243" s="14">
        <v>9.7262135922329997E-3</v>
      </c>
      <c r="F243" s="14">
        <v>1.6E-2</v>
      </c>
      <c r="G243" s="18">
        <f t="shared" si="19"/>
        <v>9.7262135922329997E-3</v>
      </c>
      <c r="H243" s="11">
        <f t="shared" si="22"/>
        <v>1.6</v>
      </c>
      <c r="I243" s="11">
        <v>9678.2999999999993</v>
      </c>
      <c r="J243" s="10" t="str">
        <f t="shared" si="24"/>
        <v>Excentricidad  maxima del 1.60%</v>
      </c>
    </row>
    <row r="244" spans="1:10" x14ac:dyDescent="0.25">
      <c r="A244" s="10" t="s">
        <v>328</v>
      </c>
      <c r="B244" s="13">
        <v>9708.7999999999993</v>
      </c>
      <c r="C244" s="13">
        <v>9750.2999999999993</v>
      </c>
      <c r="D244" s="13" t="str">
        <f t="shared" si="23"/>
        <v>I</v>
      </c>
      <c r="E244" s="14">
        <v>1.0153125000000001E-2</v>
      </c>
      <c r="F244" s="14">
        <v>1.83E-2</v>
      </c>
      <c r="G244" s="18">
        <f t="shared" si="19"/>
        <v>1.0153125000000001E-2</v>
      </c>
      <c r="H244" s="11">
        <f t="shared" si="22"/>
        <v>1.83</v>
      </c>
      <c r="I244" s="11">
        <v>9740.9</v>
      </c>
      <c r="J244" s="10" t="str">
        <f t="shared" si="24"/>
        <v>Excentricidad  maxima del 1.83%</v>
      </c>
    </row>
    <row r="245" spans="1:10" x14ac:dyDescent="0.25">
      <c r="A245" s="10" t="s">
        <v>329</v>
      </c>
      <c r="B245" s="13">
        <v>9752.5</v>
      </c>
      <c r="C245" s="13">
        <v>9790.7000000000007</v>
      </c>
      <c r="D245" s="13" t="str">
        <f t="shared" si="23"/>
        <v>I</v>
      </c>
      <c r="E245" s="14">
        <v>1.0439425587467299E-2</v>
      </c>
      <c r="F245" s="14">
        <v>1.6299999999999999E-2</v>
      </c>
      <c r="G245" s="18">
        <f t="shared" si="19"/>
        <v>1.0439425587467299E-2</v>
      </c>
      <c r="H245" s="11">
        <f t="shared" si="22"/>
        <v>1.63</v>
      </c>
      <c r="I245" s="11">
        <v>9786.4</v>
      </c>
      <c r="J245" s="10" t="str">
        <f t="shared" si="24"/>
        <v>Excentricidad  maxima del 1.63%</v>
      </c>
    </row>
    <row r="246" spans="1:10" x14ac:dyDescent="0.25">
      <c r="A246" s="10" t="s">
        <v>330</v>
      </c>
      <c r="B246" s="13">
        <v>9792.9</v>
      </c>
      <c r="C246" s="13">
        <v>9833.6</v>
      </c>
      <c r="D246" s="13" t="str">
        <f t="shared" si="23"/>
        <v>I</v>
      </c>
      <c r="E246" s="14">
        <v>1.04203431372548E-2</v>
      </c>
      <c r="F246" s="14">
        <v>1.6500000000000001E-2</v>
      </c>
      <c r="G246" s="18">
        <f t="shared" si="19"/>
        <v>1.04203431372548E-2</v>
      </c>
      <c r="H246" s="11">
        <f t="shared" si="22"/>
        <v>1.6500000000000001</v>
      </c>
      <c r="I246" s="11">
        <v>9804.7999999999993</v>
      </c>
      <c r="J246" s="10" t="str">
        <f t="shared" si="24"/>
        <v>Excentricidad  maxima del 1.65%</v>
      </c>
    </row>
    <row r="247" spans="1:10" x14ac:dyDescent="0.25">
      <c r="A247" s="10" t="s">
        <v>331</v>
      </c>
      <c r="B247" s="13">
        <v>9835.7999999999993</v>
      </c>
      <c r="C247" s="13">
        <v>9876.4</v>
      </c>
      <c r="D247" s="13" t="str">
        <f t="shared" si="23"/>
        <v>I</v>
      </c>
      <c r="E247" s="14">
        <v>9.9341523341523307E-3</v>
      </c>
      <c r="F247" s="14">
        <v>1.7399999999999999E-2</v>
      </c>
      <c r="G247" s="18">
        <f t="shared" si="19"/>
        <v>9.9341523341523307E-3</v>
      </c>
      <c r="H247" s="11">
        <f t="shared" si="22"/>
        <v>1.7399999999999998</v>
      </c>
      <c r="I247" s="11">
        <v>9838</v>
      </c>
      <c r="J247" s="10" t="str">
        <f t="shared" si="24"/>
        <v>Excentricidad  maxima del 1.74%</v>
      </c>
    </row>
    <row r="248" spans="1:10" x14ac:dyDescent="0.25">
      <c r="A248" s="10" t="s">
        <v>332</v>
      </c>
      <c r="B248" s="13">
        <v>9878.6</v>
      </c>
      <c r="C248" s="13">
        <v>9915.2999999999993</v>
      </c>
      <c r="D248" s="13" t="str">
        <f t="shared" si="23"/>
        <v>I</v>
      </c>
      <c r="E248" s="14">
        <v>9.6105978260869508E-3</v>
      </c>
      <c r="F248" s="14">
        <v>1.43E-2</v>
      </c>
      <c r="G248" s="18">
        <f t="shared" si="19"/>
        <v>9.6105978260869508E-3</v>
      </c>
      <c r="H248" s="11">
        <f t="shared" si="22"/>
        <v>1.43</v>
      </c>
      <c r="I248" s="11">
        <v>9914.2000000000007</v>
      </c>
      <c r="J248" s="10" t="str">
        <f t="shared" si="24"/>
        <v>Excentricidad  maxima del 1.43%</v>
      </c>
    </row>
    <row r="249" spans="1:10" x14ac:dyDescent="0.25">
      <c r="A249" s="10" t="s">
        <v>333</v>
      </c>
      <c r="B249" s="13">
        <v>9917.5</v>
      </c>
      <c r="C249" s="13">
        <v>9957.9</v>
      </c>
      <c r="D249" s="13" t="str">
        <f t="shared" si="23"/>
        <v>I</v>
      </c>
      <c r="E249" s="14">
        <v>9.2498765432098805E-3</v>
      </c>
      <c r="F249" s="14">
        <v>1.4E-2</v>
      </c>
      <c r="G249" s="18">
        <f t="shared" si="19"/>
        <v>9.2498765432098805E-3</v>
      </c>
      <c r="H249" s="11">
        <f t="shared" si="22"/>
        <v>1.4000000000000001</v>
      </c>
      <c r="I249" s="11">
        <v>9917.5</v>
      </c>
      <c r="J249" s="10" t="str">
        <f t="shared" si="24"/>
        <v>Excentricidad  maxima del 1.40%</v>
      </c>
    </row>
    <row r="250" spans="1:10" x14ac:dyDescent="0.25">
      <c r="A250" s="10" t="s">
        <v>334</v>
      </c>
      <c r="B250" s="13">
        <v>9960.1</v>
      </c>
      <c r="C250" s="13">
        <v>9999.6</v>
      </c>
      <c r="D250" s="13" t="str">
        <f t="shared" si="23"/>
        <v>I</v>
      </c>
      <c r="E250" s="14">
        <v>8.9426767676767608E-3</v>
      </c>
      <c r="F250" s="14">
        <v>1.4E-2</v>
      </c>
      <c r="G250" s="18">
        <f t="shared" si="19"/>
        <v>8.9426767676767608E-3</v>
      </c>
      <c r="H250" s="11">
        <f t="shared" si="22"/>
        <v>1.4000000000000001</v>
      </c>
      <c r="I250" s="11">
        <v>9961.6</v>
      </c>
      <c r="J250" s="10" t="str">
        <f t="shared" si="24"/>
        <v>Excentricidad  maxima del 1.40%</v>
      </c>
    </row>
    <row r="251" spans="1:10" x14ac:dyDescent="0.25">
      <c r="A251" s="10" t="s">
        <v>335</v>
      </c>
      <c r="B251" s="13">
        <v>10001.799999999999</v>
      </c>
      <c r="C251" s="13">
        <v>10041.1</v>
      </c>
      <c r="D251" s="13" t="str">
        <f t="shared" si="23"/>
        <v>I</v>
      </c>
      <c r="E251" s="14">
        <v>9.9071065989847704E-3</v>
      </c>
      <c r="F251" s="14">
        <v>1.7000000000000001E-2</v>
      </c>
      <c r="G251" s="18">
        <f t="shared" si="19"/>
        <v>9.9071065989847704E-3</v>
      </c>
      <c r="H251" s="11">
        <f t="shared" si="22"/>
        <v>1.7000000000000002</v>
      </c>
      <c r="I251" s="11">
        <v>10005.6</v>
      </c>
      <c r="J251" s="10" t="str">
        <f t="shared" si="24"/>
        <v>Excentricidad  maxima del 1.70%</v>
      </c>
    </row>
    <row r="252" spans="1:10" x14ac:dyDescent="0.25">
      <c r="A252" s="10" t="s">
        <v>336</v>
      </c>
      <c r="B252" s="13">
        <v>10043.299999999999</v>
      </c>
      <c r="C252" s="13">
        <v>10084</v>
      </c>
      <c r="D252" s="13" t="str">
        <f t="shared" si="23"/>
        <v>I</v>
      </c>
      <c r="E252" s="14">
        <v>1.0709068627450901E-2</v>
      </c>
      <c r="F252" s="14">
        <v>1.4500000000000001E-2</v>
      </c>
      <c r="G252" s="18">
        <f t="shared" si="19"/>
        <v>1.0709068627450901E-2</v>
      </c>
      <c r="H252" s="11">
        <f t="shared" si="22"/>
        <v>1.4500000000000002</v>
      </c>
      <c r="I252" s="11">
        <v>10074.299999999999</v>
      </c>
      <c r="J252" s="10" t="str">
        <f t="shared" si="24"/>
        <v>Excentricidad  maxima del 1.45%</v>
      </c>
    </row>
    <row r="253" spans="1:10" x14ac:dyDescent="0.25">
      <c r="A253" s="10" t="s">
        <v>337</v>
      </c>
      <c r="B253" s="13">
        <v>10086.200000000001</v>
      </c>
      <c r="C253" s="13">
        <v>10128</v>
      </c>
      <c r="D253" s="13" t="str">
        <f t="shared" si="23"/>
        <v>I</v>
      </c>
      <c r="E253" s="14">
        <v>1.00646778042959E-2</v>
      </c>
      <c r="F253" s="14">
        <v>1.6899999999999998E-2</v>
      </c>
      <c r="G253" s="18">
        <f t="shared" si="19"/>
        <v>1.00646778042959E-2</v>
      </c>
      <c r="H253" s="11">
        <f t="shared" si="22"/>
        <v>1.69</v>
      </c>
      <c r="I253" s="11">
        <v>10086.6</v>
      </c>
      <c r="J253" s="10" t="str">
        <f>"Excentricidad  maxima del "&amp;TEXT(F253,"0.00%")</f>
        <v>Excentricidad  maxima del 1.69%</v>
      </c>
    </row>
    <row r="254" spans="1:10" x14ac:dyDescent="0.25">
      <c r="A254" s="10" t="s">
        <v>338</v>
      </c>
      <c r="B254" s="13">
        <v>10130.200000000001</v>
      </c>
      <c r="C254" s="13">
        <v>10169.799999999999</v>
      </c>
      <c r="D254" s="13" t="str">
        <f t="shared" si="23"/>
        <v>I</v>
      </c>
      <c r="E254" s="14">
        <v>1.04403022670025E-2</v>
      </c>
      <c r="F254" s="14">
        <v>1.5100000000000001E-2</v>
      </c>
      <c r="G254" s="18">
        <f t="shared" si="19"/>
        <v>1.04403022670025E-2</v>
      </c>
      <c r="H254" s="11">
        <f t="shared" si="22"/>
        <v>1.51</v>
      </c>
      <c r="I254" s="11">
        <v>10166.5</v>
      </c>
      <c r="J254" s="10" t="str">
        <f t="shared" ref="J254:J303" si="25">"Excentricidad  maxima del "&amp;TEXT(F254,"0.00%")</f>
        <v>Excentricidad  maxima del 1.51%</v>
      </c>
    </row>
    <row r="255" spans="1:10" x14ac:dyDescent="0.25">
      <c r="A255" s="10" t="s">
        <v>339</v>
      </c>
      <c r="B255" s="13">
        <v>10172</v>
      </c>
      <c r="C255" s="13">
        <v>10213.299999999999</v>
      </c>
      <c r="D255" s="13" t="str">
        <f t="shared" si="23"/>
        <v>I</v>
      </c>
      <c r="E255" s="14">
        <v>1.04012077294685E-2</v>
      </c>
      <c r="F255" s="14">
        <v>1.4999999999999999E-2</v>
      </c>
      <c r="G255" s="18">
        <f t="shared" si="19"/>
        <v>1.04012077294685E-2</v>
      </c>
      <c r="H255" s="11">
        <f t="shared" si="22"/>
        <v>1.5</v>
      </c>
      <c r="I255" s="11">
        <v>10176.299999999999</v>
      </c>
      <c r="J255" s="10" t="str">
        <f t="shared" si="25"/>
        <v>Excentricidad  maxima del 1.50%</v>
      </c>
    </row>
    <row r="256" spans="1:10" x14ac:dyDescent="0.25">
      <c r="A256" s="10" t="s">
        <v>340</v>
      </c>
      <c r="B256" s="13">
        <v>10215.5</v>
      </c>
      <c r="C256" s="13">
        <v>10255.6</v>
      </c>
      <c r="D256" s="13" t="str">
        <f t="shared" si="23"/>
        <v>I</v>
      </c>
      <c r="E256" s="14">
        <v>9.8751243781094507E-3</v>
      </c>
      <c r="F256" s="14">
        <v>1.4800000000000001E-2</v>
      </c>
      <c r="G256" s="18">
        <f t="shared" si="19"/>
        <v>9.8751243781094507E-3</v>
      </c>
      <c r="H256" s="11">
        <f t="shared" si="22"/>
        <v>1.48</v>
      </c>
      <c r="I256" s="11">
        <v>10248.700000000001</v>
      </c>
      <c r="J256" s="10" t="str">
        <f t="shared" si="25"/>
        <v>Excentricidad  maxima del 1.48%</v>
      </c>
    </row>
    <row r="257" spans="1:10" x14ac:dyDescent="0.25">
      <c r="A257" s="10" t="s">
        <v>341</v>
      </c>
      <c r="B257" s="13">
        <v>10257.799999999999</v>
      </c>
      <c r="C257" s="13">
        <v>10295.700000000001</v>
      </c>
      <c r="D257" s="13" t="str">
        <f t="shared" si="23"/>
        <v>I</v>
      </c>
      <c r="E257" s="14">
        <v>9.1318421052631604E-3</v>
      </c>
      <c r="F257" s="14">
        <v>1.2699999999999999E-2</v>
      </c>
      <c r="G257" s="18">
        <f t="shared" si="19"/>
        <v>9.1318421052631604E-3</v>
      </c>
      <c r="H257" s="11">
        <f t="shared" si="22"/>
        <v>1.27</v>
      </c>
      <c r="I257" s="11">
        <v>10278.6</v>
      </c>
      <c r="J257" s="10" t="str">
        <f t="shared" si="25"/>
        <v>Excentricidad  maxima del 1.27%</v>
      </c>
    </row>
    <row r="258" spans="1:10" x14ac:dyDescent="0.25">
      <c r="A258" s="10" t="s">
        <v>342</v>
      </c>
      <c r="B258" s="13">
        <v>10297.9</v>
      </c>
      <c r="C258" s="13">
        <v>10339.200000000001</v>
      </c>
      <c r="D258" s="13" t="str">
        <f t="shared" si="23"/>
        <v>I</v>
      </c>
      <c r="E258" s="14">
        <v>9.4751207729468507E-3</v>
      </c>
      <c r="F258" s="14">
        <v>1.4800000000000001E-2</v>
      </c>
      <c r="G258" s="18">
        <f t="shared" si="19"/>
        <v>9.4751207729468507E-3</v>
      </c>
      <c r="H258" s="11">
        <f t="shared" si="22"/>
        <v>1.48</v>
      </c>
      <c r="I258" s="11">
        <v>10332.5</v>
      </c>
      <c r="J258" s="10" t="str">
        <f t="shared" si="25"/>
        <v>Excentricidad  maxima del 1.48%</v>
      </c>
    </row>
    <row r="259" spans="1:10" x14ac:dyDescent="0.25">
      <c r="A259" s="10" t="s">
        <v>343</v>
      </c>
      <c r="B259" s="13">
        <v>10341.4</v>
      </c>
      <c r="C259" s="13">
        <v>10382.4</v>
      </c>
      <c r="D259" s="13" t="str">
        <f t="shared" si="23"/>
        <v>II</v>
      </c>
      <c r="E259" s="14">
        <v>1.31484184914841E-2</v>
      </c>
      <c r="F259" s="14">
        <v>2.2700000000000001E-2</v>
      </c>
      <c r="G259" s="18">
        <f t="shared" ref="G259:G303" si="26">E259</f>
        <v>1.31484184914841E-2</v>
      </c>
      <c r="H259" s="11">
        <f t="shared" si="22"/>
        <v>2.27</v>
      </c>
      <c r="I259" s="11">
        <v>10367.799999999999</v>
      </c>
      <c r="J259" s="10" t="str">
        <f t="shared" si="25"/>
        <v>Excentricidad  maxima del 2.27%</v>
      </c>
    </row>
    <row r="260" spans="1:10" x14ac:dyDescent="0.25">
      <c r="A260" s="10" t="s">
        <v>344</v>
      </c>
      <c r="B260" s="13">
        <v>10384.6</v>
      </c>
      <c r="C260" s="13">
        <v>10425.200000000001</v>
      </c>
      <c r="D260" s="13" t="str">
        <f t="shared" si="23"/>
        <v>I</v>
      </c>
      <c r="E260" s="14">
        <v>1.2904176904176799E-2</v>
      </c>
      <c r="F260" s="14">
        <v>1.8200000000000001E-2</v>
      </c>
      <c r="G260" s="18">
        <f t="shared" si="26"/>
        <v>1.2904176904176799E-2</v>
      </c>
      <c r="H260" s="11">
        <f t="shared" si="22"/>
        <v>1.82</v>
      </c>
      <c r="I260" s="11">
        <v>10405.9</v>
      </c>
      <c r="J260" s="10" t="str">
        <f t="shared" si="25"/>
        <v>Excentricidad  maxima del 1.82%</v>
      </c>
    </row>
    <row r="261" spans="1:10" x14ac:dyDescent="0.25">
      <c r="A261" s="10" t="s">
        <v>345</v>
      </c>
      <c r="B261" s="13">
        <v>10427.4</v>
      </c>
      <c r="C261" s="13">
        <v>10468.5</v>
      </c>
      <c r="D261" s="13" t="str">
        <f t="shared" si="23"/>
        <v>I</v>
      </c>
      <c r="E261" s="14">
        <v>1.1319174757281499E-2</v>
      </c>
      <c r="F261" s="14">
        <v>1.6799999999999999E-2</v>
      </c>
      <c r="G261" s="18">
        <f t="shared" si="26"/>
        <v>1.1319174757281499E-2</v>
      </c>
      <c r="H261" s="11">
        <f t="shared" si="22"/>
        <v>1.68</v>
      </c>
      <c r="I261" s="11">
        <v>10431.700000000001</v>
      </c>
      <c r="J261" s="10" t="str">
        <f t="shared" si="25"/>
        <v>Excentricidad  maxima del 1.68%</v>
      </c>
    </row>
    <row r="262" spans="1:10" x14ac:dyDescent="0.25">
      <c r="A262" s="10" t="s">
        <v>346</v>
      </c>
      <c r="B262" s="13">
        <v>10470.700000000001</v>
      </c>
      <c r="C262" s="13">
        <v>10507.9</v>
      </c>
      <c r="D262" s="13" t="str">
        <f t="shared" si="23"/>
        <v>I</v>
      </c>
      <c r="E262" s="14">
        <v>1.3444772117962399E-2</v>
      </c>
      <c r="F262" s="14">
        <v>1.7399999999999999E-2</v>
      </c>
      <c r="G262" s="18">
        <f t="shared" si="26"/>
        <v>1.3444772117962399E-2</v>
      </c>
      <c r="H262" s="11">
        <f t="shared" si="22"/>
        <v>1.7399999999999998</v>
      </c>
      <c r="I262" s="11">
        <v>10470.9</v>
      </c>
      <c r="J262" s="10" t="str">
        <f t="shared" si="25"/>
        <v>Excentricidad  maxima del 1.74%</v>
      </c>
    </row>
    <row r="263" spans="1:10" x14ac:dyDescent="0.25">
      <c r="A263" s="10" t="s">
        <v>347</v>
      </c>
      <c r="B263" s="13">
        <v>10510.1</v>
      </c>
      <c r="C263" s="13">
        <v>10549.3</v>
      </c>
      <c r="D263" s="13" t="str">
        <f t="shared" si="23"/>
        <v>I</v>
      </c>
      <c r="E263" s="14">
        <v>1.1935623409669201E-2</v>
      </c>
      <c r="F263" s="14">
        <v>1.9599999999999999E-2</v>
      </c>
      <c r="G263" s="18">
        <f t="shared" si="26"/>
        <v>1.1935623409669201E-2</v>
      </c>
      <c r="H263" s="11">
        <f t="shared" si="22"/>
        <v>1.96</v>
      </c>
      <c r="I263" s="11">
        <v>10535.3</v>
      </c>
      <c r="J263" s="10" t="str">
        <f t="shared" si="25"/>
        <v>Excentricidad  maxima del 1.96%</v>
      </c>
    </row>
    <row r="264" spans="1:10" x14ac:dyDescent="0.25">
      <c r="A264" s="10" t="s">
        <v>348</v>
      </c>
      <c r="B264" s="13">
        <v>10551.5</v>
      </c>
      <c r="C264" s="13">
        <v>10592.1</v>
      </c>
      <c r="D264" s="13" t="str">
        <f t="shared" si="23"/>
        <v>I</v>
      </c>
      <c r="E264" s="14">
        <v>9.7147420147420099E-3</v>
      </c>
      <c r="F264" s="14">
        <v>1.2699999999999999E-2</v>
      </c>
      <c r="G264" s="18">
        <f t="shared" si="26"/>
        <v>9.7147420147420099E-3</v>
      </c>
      <c r="H264" s="11">
        <f t="shared" si="22"/>
        <v>1.27</v>
      </c>
      <c r="I264" s="11">
        <v>10577.5</v>
      </c>
      <c r="J264" s="10" t="str">
        <f t="shared" si="25"/>
        <v>Excentricidad  maxima del 1.27%</v>
      </c>
    </row>
    <row r="265" spans="1:10" x14ac:dyDescent="0.25">
      <c r="A265" s="10" t="s">
        <v>349</v>
      </c>
      <c r="B265" s="13">
        <v>10594.3</v>
      </c>
      <c r="C265" s="13">
        <v>10635.3</v>
      </c>
      <c r="D265" s="13" t="str">
        <f t="shared" si="23"/>
        <v>I</v>
      </c>
      <c r="E265" s="14">
        <v>1.22676399026763E-2</v>
      </c>
      <c r="F265" s="14">
        <v>1.9099999999999999E-2</v>
      </c>
      <c r="G265" s="18">
        <f t="shared" si="26"/>
        <v>1.22676399026763E-2</v>
      </c>
      <c r="H265" s="11">
        <f t="shared" si="22"/>
        <v>1.91</v>
      </c>
      <c r="I265" s="11">
        <v>10627.5</v>
      </c>
      <c r="J265" s="10" t="str">
        <f t="shared" si="25"/>
        <v>Excentricidad  maxima del 1.91%</v>
      </c>
    </row>
    <row r="266" spans="1:10" x14ac:dyDescent="0.25">
      <c r="A266" s="10" t="s">
        <v>350</v>
      </c>
      <c r="B266" s="13">
        <v>10637.5</v>
      </c>
      <c r="C266" s="13">
        <v>10677.6</v>
      </c>
      <c r="D266" s="13" t="str">
        <f t="shared" si="23"/>
        <v>I</v>
      </c>
      <c r="E266" s="14">
        <v>1.1413432835820801E-2</v>
      </c>
      <c r="F266" s="14">
        <v>1.72E-2</v>
      </c>
      <c r="G266" s="18">
        <f t="shared" si="26"/>
        <v>1.1413432835820801E-2</v>
      </c>
      <c r="H266" s="11">
        <f t="shared" si="22"/>
        <v>1.72</v>
      </c>
      <c r="I266" s="11">
        <v>10653.9</v>
      </c>
      <c r="J266" s="10" t="str">
        <f t="shared" si="25"/>
        <v>Excentricidad  maxima del 1.72%</v>
      </c>
    </row>
    <row r="267" spans="1:10" x14ac:dyDescent="0.25">
      <c r="A267" s="10" t="s">
        <v>351</v>
      </c>
      <c r="B267" s="13">
        <v>10679.8</v>
      </c>
      <c r="C267" s="13">
        <v>10721.7</v>
      </c>
      <c r="D267" s="13" t="str">
        <f t="shared" si="23"/>
        <v>I</v>
      </c>
      <c r="E267" s="14">
        <v>1.07719047619047E-2</v>
      </c>
      <c r="F267" s="14">
        <v>1.78E-2</v>
      </c>
      <c r="G267" s="18">
        <f t="shared" si="26"/>
        <v>1.07719047619047E-2</v>
      </c>
      <c r="H267" s="11">
        <f t="shared" si="22"/>
        <v>1.78</v>
      </c>
      <c r="I267" s="11">
        <v>10709.4</v>
      </c>
      <c r="J267" s="10" t="str">
        <f t="shared" si="25"/>
        <v>Excentricidad  maxima del 1.78%</v>
      </c>
    </row>
    <row r="268" spans="1:10" x14ac:dyDescent="0.25">
      <c r="A268" s="10" t="s">
        <v>352</v>
      </c>
      <c r="B268" s="13">
        <v>10723.9</v>
      </c>
      <c r="C268" s="13">
        <v>10760</v>
      </c>
      <c r="D268" s="13" t="str">
        <f t="shared" si="23"/>
        <v>II</v>
      </c>
      <c r="E268" s="14">
        <v>1.6988397790055201E-2</v>
      </c>
      <c r="F268" s="14">
        <v>2.5100000000000001E-2</v>
      </c>
      <c r="G268" s="18">
        <f t="shared" si="26"/>
        <v>1.6988397790055201E-2</v>
      </c>
      <c r="H268" s="11">
        <f t="shared" si="22"/>
        <v>2.5100000000000002</v>
      </c>
      <c r="I268" s="11">
        <v>10735</v>
      </c>
      <c r="J268" s="10" t="str">
        <f t="shared" si="25"/>
        <v>Excentricidad  maxima del 2.51%</v>
      </c>
    </row>
    <row r="269" spans="1:10" x14ac:dyDescent="0.25">
      <c r="A269" s="10" t="s">
        <v>353</v>
      </c>
      <c r="B269" s="13">
        <v>10762.2</v>
      </c>
      <c r="C269" s="13">
        <v>10801.9</v>
      </c>
      <c r="D269" s="13" t="str">
        <f t="shared" si="23"/>
        <v>II</v>
      </c>
      <c r="E269" s="14">
        <v>1.2688442211055201E-2</v>
      </c>
      <c r="F269" s="14">
        <v>2.1600000000000001E-2</v>
      </c>
      <c r="G269" s="18">
        <f t="shared" si="26"/>
        <v>1.2688442211055201E-2</v>
      </c>
      <c r="H269" s="11">
        <f t="shared" si="22"/>
        <v>2.16</v>
      </c>
      <c r="I269" s="11">
        <v>10797.8</v>
      </c>
      <c r="J269" s="10" t="str">
        <f t="shared" si="25"/>
        <v>Excentricidad  maxima del 2.16%</v>
      </c>
    </row>
    <row r="270" spans="1:10" x14ac:dyDescent="0.25">
      <c r="A270" s="10" t="s">
        <v>354</v>
      </c>
      <c r="B270" s="13">
        <v>10804.1</v>
      </c>
      <c r="C270" s="13">
        <v>10840.5</v>
      </c>
      <c r="D270" s="13" t="str">
        <f t="shared" si="23"/>
        <v>II</v>
      </c>
      <c r="E270" s="14">
        <v>1.27328767123287E-2</v>
      </c>
      <c r="F270" s="14">
        <v>2.3099999999999999E-2</v>
      </c>
      <c r="G270" s="18">
        <f t="shared" si="26"/>
        <v>1.27328767123287E-2</v>
      </c>
      <c r="H270" s="11">
        <f t="shared" si="22"/>
        <v>2.31</v>
      </c>
      <c r="I270" s="11">
        <v>10815.9</v>
      </c>
      <c r="J270" s="10" t="str">
        <f t="shared" si="25"/>
        <v>Excentricidad  maxima del 2.31%</v>
      </c>
    </row>
    <row r="271" spans="1:10" x14ac:dyDescent="0.25">
      <c r="A271" s="10" t="s">
        <v>355</v>
      </c>
      <c r="B271" s="13">
        <v>10842.7</v>
      </c>
      <c r="C271" s="13">
        <v>10883</v>
      </c>
      <c r="D271" s="13" t="str">
        <f t="shared" si="23"/>
        <v>I</v>
      </c>
      <c r="E271" s="14">
        <v>1.11898514851485E-2</v>
      </c>
      <c r="F271" s="14">
        <v>1.7000000000000001E-2</v>
      </c>
      <c r="G271" s="18">
        <f t="shared" si="26"/>
        <v>1.11898514851485E-2</v>
      </c>
      <c r="H271" s="11">
        <f t="shared" si="22"/>
        <v>1.7000000000000002</v>
      </c>
      <c r="I271" s="11">
        <v>10857.1</v>
      </c>
      <c r="J271" s="10" t="str">
        <f t="shared" si="25"/>
        <v>Excentricidad  maxima del 1.70%</v>
      </c>
    </row>
    <row r="272" spans="1:10" x14ac:dyDescent="0.25">
      <c r="A272" s="10" t="s">
        <v>356</v>
      </c>
      <c r="B272" s="13">
        <v>10885.2</v>
      </c>
      <c r="C272" s="13">
        <v>10924.1</v>
      </c>
      <c r="D272" s="13" t="str">
        <f t="shared" si="23"/>
        <v>II</v>
      </c>
      <c r="E272" s="14">
        <v>1.2400512820512801E-2</v>
      </c>
      <c r="F272" s="14">
        <v>2.0799999999999999E-2</v>
      </c>
      <c r="G272" s="18">
        <f t="shared" si="26"/>
        <v>1.2400512820512801E-2</v>
      </c>
      <c r="H272" s="11">
        <f t="shared" si="22"/>
        <v>2.08</v>
      </c>
      <c r="I272" s="11">
        <v>10889</v>
      </c>
      <c r="J272" s="10" t="str">
        <f t="shared" si="25"/>
        <v>Excentricidad  maxima del 2.08%</v>
      </c>
    </row>
    <row r="273" spans="1:10" x14ac:dyDescent="0.25">
      <c r="A273" s="10" t="s">
        <v>357</v>
      </c>
      <c r="B273" s="13">
        <v>10926.3</v>
      </c>
      <c r="C273" s="13">
        <v>10968.1</v>
      </c>
      <c r="D273" s="13" t="str">
        <f t="shared" si="23"/>
        <v>I</v>
      </c>
      <c r="E273" s="14">
        <v>1.0211217183770801E-2</v>
      </c>
      <c r="F273" s="14">
        <v>1.43E-2</v>
      </c>
      <c r="G273" s="18">
        <f t="shared" si="26"/>
        <v>1.0211217183770801E-2</v>
      </c>
      <c r="H273" s="11">
        <f t="shared" si="22"/>
        <v>1.43</v>
      </c>
      <c r="I273" s="11">
        <v>10926.9</v>
      </c>
      <c r="J273" s="10" t="str">
        <f t="shared" si="25"/>
        <v>Excentricidad  maxima del 1.43%</v>
      </c>
    </row>
    <row r="274" spans="1:10" x14ac:dyDescent="0.25">
      <c r="A274" s="10" t="s">
        <v>358</v>
      </c>
      <c r="B274" s="13">
        <v>10970.3</v>
      </c>
      <c r="C274" s="13">
        <v>11011.1</v>
      </c>
      <c r="D274" s="13" t="str">
        <f t="shared" si="23"/>
        <v>I</v>
      </c>
      <c r="E274" s="14">
        <v>1.0780684596577E-2</v>
      </c>
      <c r="F274" s="14">
        <v>1.6199999999999999E-2</v>
      </c>
      <c r="G274" s="18">
        <f t="shared" si="26"/>
        <v>1.0780684596577E-2</v>
      </c>
      <c r="H274" s="11">
        <f t="shared" si="22"/>
        <v>1.6199999999999999</v>
      </c>
      <c r="I274" s="11">
        <v>11010.3</v>
      </c>
      <c r="J274" s="10" t="str">
        <f t="shared" si="25"/>
        <v>Excentricidad  maxima del 1.62%</v>
      </c>
    </row>
    <row r="275" spans="1:10" x14ac:dyDescent="0.25">
      <c r="A275" s="10" t="s">
        <v>359</v>
      </c>
      <c r="B275" s="13">
        <v>11013.3</v>
      </c>
      <c r="C275" s="13">
        <v>11053.3</v>
      </c>
      <c r="D275" s="13" t="str">
        <f t="shared" si="23"/>
        <v>I</v>
      </c>
      <c r="E275" s="14">
        <v>8.0665835411471293E-3</v>
      </c>
      <c r="F275" s="14">
        <v>1.24E-2</v>
      </c>
      <c r="G275" s="18">
        <f t="shared" si="26"/>
        <v>8.0665835411471293E-3</v>
      </c>
      <c r="H275" s="11">
        <f t="shared" si="22"/>
        <v>1.24</v>
      </c>
      <c r="I275" s="11">
        <v>11051.8</v>
      </c>
      <c r="J275" s="10" t="str">
        <f t="shared" si="25"/>
        <v>Excentricidad  maxima del 1.24%</v>
      </c>
    </row>
    <row r="276" spans="1:10" x14ac:dyDescent="0.25">
      <c r="A276" s="10" t="s">
        <v>360</v>
      </c>
      <c r="B276" s="13">
        <v>11055.5</v>
      </c>
      <c r="C276" s="13">
        <v>11096.6</v>
      </c>
      <c r="D276" s="13" t="str">
        <f t="shared" si="23"/>
        <v>I</v>
      </c>
      <c r="E276" s="14">
        <v>1.02257281553398E-2</v>
      </c>
      <c r="F276" s="14">
        <v>1.3599999999999999E-2</v>
      </c>
      <c r="G276" s="18">
        <f t="shared" si="26"/>
        <v>1.02257281553398E-2</v>
      </c>
      <c r="H276" s="11">
        <f t="shared" si="22"/>
        <v>1.3599999999999999</v>
      </c>
      <c r="I276" s="11">
        <v>11064.9</v>
      </c>
      <c r="J276" s="10" t="str">
        <f t="shared" si="25"/>
        <v>Excentricidad  maxima del 1.36%</v>
      </c>
    </row>
    <row r="277" spans="1:10" x14ac:dyDescent="0.25">
      <c r="A277" s="10" t="s">
        <v>361</v>
      </c>
      <c r="B277" s="13">
        <v>11098.8</v>
      </c>
      <c r="C277" s="13">
        <v>11139.6</v>
      </c>
      <c r="D277" s="13" t="str">
        <f t="shared" si="23"/>
        <v>I</v>
      </c>
      <c r="E277" s="14">
        <v>9.4337408312958494E-3</v>
      </c>
      <c r="F277" s="14">
        <v>1.2699999999999999E-2</v>
      </c>
      <c r="G277" s="18">
        <f t="shared" si="26"/>
        <v>9.4337408312958494E-3</v>
      </c>
      <c r="H277" s="11">
        <f t="shared" si="22"/>
        <v>1.27</v>
      </c>
      <c r="I277" s="11">
        <v>11101.3</v>
      </c>
      <c r="J277" s="10" t="str">
        <f t="shared" si="25"/>
        <v>Excentricidad  maxima del 1.27%</v>
      </c>
    </row>
    <row r="278" spans="1:10" x14ac:dyDescent="0.25">
      <c r="A278" s="10" t="s">
        <v>362</v>
      </c>
      <c r="B278" s="13">
        <v>11141.8</v>
      </c>
      <c r="C278" s="13">
        <v>11182.4</v>
      </c>
      <c r="D278" s="13" t="str">
        <f t="shared" si="23"/>
        <v>I</v>
      </c>
      <c r="E278" s="14">
        <v>9.7154791154791201E-3</v>
      </c>
      <c r="F278" s="14">
        <v>1.18E-2</v>
      </c>
      <c r="G278" s="18">
        <f t="shared" si="26"/>
        <v>9.7154791154791201E-3</v>
      </c>
      <c r="H278" s="11">
        <f t="shared" si="22"/>
        <v>1.18</v>
      </c>
      <c r="I278" s="11">
        <v>11181.9</v>
      </c>
      <c r="J278" s="10" t="str">
        <f t="shared" si="25"/>
        <v>Excentricidad  maxima del 1.18%</v>
      </c>
    </row>
    <row r="279" spans="1:10" x14ac:dyDescent="0.25">
      <c r="A279" s="10" t="s">
        <v>363</v>
      </c>
      <c r="B279" s="13">
        <v>11184.6</v>
      </c>
      <c r="C279" s="13">
        <v>11225.9</v>
      </c>
      <c r="D279" s="13" t="str">
        <f t="shared" si="23"/>
        <v>I</v>
      </c>
      <c r="E279" s="14">
        <v>9.4173913043478202E-3</v>
      </c>
      <c r="F279" s="14">
        <v>1.67E-2</v>
      </c>
      <c r="G279" s="18">
        <f t="shared" si="26"/>
        <v>9.4173913043478202E-3</v>
      </c>
      <c r="H279" s="11">
        <f t="shared" si="22"/>
        <v>1.67</v>
      </c>
      <c r="I279" s="11">
        <v>11196.2</v>
      </c>
      <c r="J279" s="10" t="str">
        <f t="shared" si="25"/>
        <v>Excentricidad  maxima del 1.67%</v>
      </c>
    </row>
    <row r="280" spans="1:10" x14ac:dyDescent="0.25">
      <c r="A280" s="10" t="s">
        <v>364</v>
      </c>
      <c r="B280" s="13">
        <v>11228.1</v>
      </c>
      <c r="C280" s="13">
        <v>11269.4</v>
      </c>
      <c r="D280" s="13" t="str">
        <f t="shared" si="23"/>
        <v>I</v>
      </c>
      <c r="E280" s="14">
        <v>1.2998309178743899E-2</v>
      </c>
      <c r="F280" s="14">
        <v>1.9800000000000002E-2</v>
      </c>
      <c r="G280" s="18">
        <f t="shared" si="26"/>
        <v>1.2998309178743899E-2</v>
      </c>
      <c r="H280" s="11">
        <f t="shared" si="22"/>
        <v>1.9800000000000002</v>
      </c>
      <c r="I280" s="11">
        <v>11230.5</v>
      </c>
      <c r="J280" s="10" t="str">
        <f t="shared" si="25"/>
        <v>Excentricidad  maxima del 1.98%</v>
      </c>
    </row>
    <row r="281" spans="1:10" x14ac:dyDescent="0.25">
      <c r="A281" s="10" t="s">
        <v>365</v>
      </c>
      <c r="B281" s="13">
        <v>11271.6</v>
      </c>
      <c r="C281" s="13">
        <v>11311.5</v>
      </c>
      <c r="D281" s="13" t="str">
        <f t="shared" si="23"/>
        <v>I</v>
      </c>
      <c r="E281" s="14">
        <v>1.12889999999999E-2</v>
      </c>
      <c r="F281" s="14">
        <v>1.6799999999999999E-2</v>
      </c>
      <c r="G281" s="18">
        <f t="shared" si="26"/>
        <v>1.12889999999999E-2</v>
      </c>
      <c r="H281" s="11">
        <f t="shared" si="22"/>
        <v>1.68</v>
      </c>
      <c r="I281" s="11">
        <v>11302.4</v>
      </c>
      <c r="J281" s="10" t="str">
        <f t="shared" si="25"/>
        <v>Excentricidad  maxima del 1.68%</v>
      </c>
    </row>
    <row r="282" spans="1:10" x14ac:dyDescent="0.25">
      <c r="A282" s="10" t="s">
        <v>366</v>
      </c>
      <c r="B282" s="13">
        <v>11313.7</v>
      </c>
      <c r="C282" s="13">
        <v>11355.4</v>
      </c>
      <c r="D282" s="13" t="str">
        <f t="shared" si="23"/>
        <v>I</v>
      </c>
      <c r="E282" s="14">
        <v>1.1177990430622E-2</v>
      </c>
      <c r="F282" s="14">
        <v>1.5699999999999999E-2</v>
      </c>
      <c r="G282" s="18">
        <f t="shared" si="26"/>
        <v>1.1177990430622E-2</v>
      </c>
      <c r="H282" s="11">
        <f t="shared" si="22"/>
        <v>1.5699999999999998</v>
      </c>
      <c r="I282" s="11">
        <v>11325.8</v>
      </c>
      <c r="J282" s="10" t="str">
        <f t="shared" si="25"/>
        <v>Excentricidad  maxima del 1.57%</v>
      </c>
    </row>
    <row r="283" spans="1:10" x14ac:dyDescent="0.25">
      <c r="A283" s="10" t="s">
        <v>367</v>
      </c>
      <c r="B283" s="13">
        <v>11357.6</v>
      </c>
      <c r="C283" s="13">
        <v>11398.7</v>
      </c>
      <c r="D283" s="13" t="str">
        <f t="shared" si="23"/>
        <v>II</v>
      </c>
      <c r="E283" s="14">
        <v>1.4884223300970801E-2</v>
      </c>
      <c r="F283" s="14">
        <v>2.4199999999999999E-2</v>
      </c>
      <c r="G283" s="18">
        <f t="shared" si="26"/>
        <v>1.4884223300970801E-2</v>
      </c>
      <c r="H283" s="11">
        <f t="shared" ref="H283:H303" si="27">F283*100</f>
        <v>2.42</v>
      </c>
      <c r="I283" s="11">
        <v>11369</v>
      </c>
      <c r="J283" s="10" t="str">
        <f t="shared" si="25"/>
        <v>Excentricidad  maxima del 2.42%</v>
      </c>
    </row>
    <row r="284" spans="1:10" x14ac:dyDescent="0.25">
      <c r="A284" s="10" t="s">
        <v>368</v>
      </c>
      <c r="B284" s="13">
        <v>11400.9</v>
      </c>
      <c r="C284" s="13">
        <v>11440.8</v>
      </c>
      <c r="D284" s="13" t="str">
        <f t="shared" si="23"/>
        <v>II</v>
      </c>
      <c r="E284" s="14">
        <v>1.5629250000000001E-2</v>
      </c>
      <c r="F284" s="14">
        <v>2.3699999999999999E-2</v>
      </c>
      <c r="G284" s="18">
        <f t="shared" si="26"/>
        <v>1.5629250000000001E-2</v>
      </c>
      <c r="H284" s="11">
        <f t="shared" si="27"/>
        <v>2.37</v>
      </c>
      <c r="I284" s="11">
        <v>11433.7</v>
      </c>
      <c r="J284" s="10" t="str">
        <f t="shared" si="25"/>
        <v>Excentricidad  maxima del 2.37%</v>
      </c>
    </row>
    <row r="285" spans="1:10" x14ac:dyDescent="0.25">
      <c r="A285" s="10" t="s">
        <v>369</v>
      </c>
      <c r="B285" s="13">
        <v>11443</v>
      </c>
      <c r="C285" s="13">
        <v>11483.6</v>
      </c>
      <c r="D285" s="13" t="str">
        <f t="shared" ref="D285:D303" si="28">IF((F285)&lt;2%,"I",IF((F285)&lt;5%,"II","III"))</f>
        <v>I</v>
      </c>
      <c r="E285" s="14">
        <v>1.28041769041769E-2</v>
      </c>
      <c r="F285" s="14">
        <v>1.84E-2</v>
      </c>
      <c r="G285" s="18">
        <f t="shared" si="26"/>
        <v>1.28041769041769E-2</v>
      </c>
      <c r="H285" s="11">
        <f t="shared" si="27"/>
        <v>1.8399999999999999</v>
      </c>
      <c r="I285" s="11">
        <v>11472.3</v>
      </c>
      <c r="J285" s="10" t="str">
        <f t="shared" si="25"/>
        <v>Excentricidad  maxima del 1.84%</v>
      </c>
    </row>
    <row r="286" spans="1:10" x14ac:dyDescent="0.25">
      <c r="A286" s="10" t="s">
        <v>370</v>
      </c>
      <c r="B286" s="13">
        <v>11485.8</v>
      </c>
      <c r="C286" s="13">
        <v>11526.6</v>
      </c>
      <c r="D286" s="13" t="str">
        <f t="shared" si="28"/>
        <v>I</v>
      </c>
      <c r="E286" s="14">
        <v>1.0665036674816599E-2</v>
      </c>
      <c r="F286" s="14">
        <v>1.7399999999999999E-2</v>
      </c>
      <c r="G286" s="18">
        <f t="shared" si="26"/>
        <v>1.0665036674816599E-2</v>
      </c>
      <c r="H286" s="11">
        <f t="shared" si="27"/>
        <v>1.7399999999999998</v>
      </c>
      <c r="I286" s="11">
        <v>11492.2</v>
      </c>
      <c r="J286" s="10" t="str">
        <f t="shared" si="25"/>
        <v>Excentricidad  maxima del 1.74%</v>
      </c>
    </row>
    <row r="287" spans="1:10" x14ac:dyDescent="0.25">
      <c r="A287" s="10" t="s">
        <v>371</v>
      </c>
      <c r="B287" s="13">
        <v>11528.8</v>
      </c>
      <c r="C287" s="13">
        <v>11569.6</v>
      </c>
      <c r="D287" s="13" t="str">
        <f t="shared" si="28"/>
        <v>II</v>
      </c>
      <c r="E287" s="14">
        <v>1.7116870415647901E-2</v>
      </c>
      <c r="F287" s="14">
        <v>2.3099999999999999E-2</v>
      </c>
      <c r="G287" s="18">
        <f t="shared" si="26"/>
        <v>1.7116870415647901E-2</v>
      </c>
      <c r="H287" s="11">
        <f t="shared" si="27"/>
        <v>2.31</v>
      </c>
      <c r="I287" s="11">
        <v>11535.4</v>
      </c>
      <c r="J287" s="10" t="str">
        <f t="shared" si="25"/>
        <v>Excentricidad  maxima del 2.31%</v>
      </c>
    </row>
    <row r="288" spans="1:10" x14ac:dyDescent="0.25">
      <c r="A288" s="10" t="s">
        <v>372</v>
      </c>
      <c r="B288" s="13">
        <v>11571.8</v>
      </c>
      <c r="C288" s="13">
        <v>11612.6</v>
      </c>
      <c r="D288" s="13" t="str">
        <f t="shared" si="28"/>
        <v>II</v>
      </c>
      <c r="E288" s="14">
        <v>1.9606112469437598E-2</v>
      </c>
      <c r="F288" s="14">
        <v>3.5099999999999999E-2</v>
      </c>
      <c r="G288" s="18">
        <f t="shared" si="26"/>
        <v>1.9606112469437598E-2</v>
      </c>
      <c r="H288" s="11">
        <f t="shared" si="27"/>
        <v>3.51</v>
      </c>
      <c r="I288" s="11">
        <v>11610.2</v>
      </c>
      <c r="J288" s="10" t="str">
        <f t="shared" si="25"/>
        <v>Excentricidad  maxima del 3.51%</v>
      </c>
    </row>
    <row r="289" spans="1:10" x14ac:dyDescent="0.25">
      <c r="A289" s="10" t="s">
        <v>373</v>
      </c>
      <c r="B289" s="13">
        <v>11614.8</v>
      </c>
      <c r="C289" s="13">
        <v>11654.4</v>
      </c>
      <c r="D289" s="13" t="str">
        <f t="shared" si="28"/>
        <v>II</v>
      </c>
      <c r="E289" s="14">
        <v>1.73614609571788E-2</v>
      </c>
      <c r="F289" s="14">
        <v>2.8299999999999999E-2</v>
      </c>
      <c r="G289" s="18">
        <f t="shared" si="26"/>
        <v>1.73614609571788E-2</v>
      </c>
      <c r="H289" s="11">
        <f t="shared" si="27"/>
        <v>2.83</v>
      </c>
      <c r="I289" s="11">
        <v>11638.7</v>
      </c>
      <c r="J289" s="10" t="str">
        <f t="shared" si="25"/>
        <v>Excentricidad  maxima del 2.83%</v>
      </c>
    </row>
    <row r="290" spans="1:10" x14ac:dyDescent="0.25">
      <c r="A290" s="10" t="s">
        <v>374</v>
      </c>
      <c r="B290" s="13">
        <v>11656.6</v>
      </c>
      <c r="C290" s="13">
        <v>11696.7</v>
      </c>
      <c r="D290" s="13" t="str">
        <f t="shared" si="28"/>
        <v>II</v>
      </c>
      <c r="E290" s="14">
        <v>2.1228855721392999E-2</v>
      </c>
      <c r="F290" s="14">
        <v>3.6400000000000002E-2</v>
      </c>
      <c r="G290" s="18">
        <f t="shared" si="26"/>
        <v>2.1228855721392999E-2</v>
      </c>
      <c r="H290" s="11">
        <f t="shared" si="27"/>
        <v>3.64</v>
      </c>
      <c r="I290" s="11">
        <v>11665.4</v>
      </c>
      <c r="J290" s="10" t="str">
        <f t="shared" si="25"/>
        <v>Excentricidad  maxima del 3.64%</v>
      </c>
    </row>
    <row r="291" spans="1:10" x14ac:dyDescent="0.25">
      <c r="A291" s="10" t="s">
        <v>375</v>
      </c>
      <c r="B291" s="13">
        <v>11698.9</v>
      </c>
      <c r="C291" s="13">
        <v>11740</v>
      </c>
      <c r="D291" s="13" t="str">
        <f t="shared" si="28"/>
        <v>II</v>
      </c>
      <c r="E291" s="14">
        <v>1.48694174757281E-2</v>
      </c>
      <c r="F291" s="14">
        <v>2.6499999999999999E-2</v>
      </c>
      <c r="G291" s="18">
        <f t="shared" si="26"/>
        <v>1.48694174757281E-2</v>
      </c>
      <c r="H291" s="11">
        <f t="shared" si="27"/>
        <v>2.65</v>
      </c>
      <c r="I291" s="11">
        <v>11717.1</v>
      </c>
      <c r="J291" s="10" t="str">
        <f t="shared" si="25"/>
        <v>Excentricidad  maxima del 2.65%</v>
      </c>
    </row>
    <row r="292" spans="1:10" x14ac:dyDescent="0.25">
      <c r="A292" s="10" t="s">
        <v>376</v>
      </c>
      <c r="B292" s="13">
        <v>11742.2</v>
      </c>
      <c r="C292" s="13">
        <v>11783</v>
      </c>
      <c r="D292" s="13" t="str">
        <f t="shared" si="28"/>
        <v>II</v>
      </c>
      <c r="E292" s="14">
        <v>2.1163080684596498E-2</v>
      </c>
      <c r="F292" s="14">
        <v>3.6200000000000003E-2</v>
      </c>
      <c r="G292" s="18">
        <f t="shared" si="26"/>
        <v>2.1163080684596498E-2</v>
      </c>
      <c r="H292" s="11">
        <f t="shared" si="27"/>
        <v>3.62</v>
      </c>
      <c r="I292" s="11">
        <v>11761.8</v>
      </c>
      <c r="J292" s="10" t="str">
        <f t="shared" si="25"/>
        <v>Excentricidad  maxima del 3.62%</v>
      </c>
    </row>
    <row r="293" spans="1:10" x14ac:dyDescent="0.25">
      <c r="A293" s="10" t="s">
        <v>377</v>
      </c>
      <c r="B293" s="13">
        <v>11785.2</v>
      </c>
      <c r="C293" s="13">
        <v>11826</v>
      </c>
      <c r="D293" s="13" t="str">
        <f t="shared" si="28"/>
        <v>II</v>
      </c>
      <c r="E293" s="14">
        <v>1.6045232273838601E-2</v>
      </c>
      <c r="F293" s="14">
        <v>2.3E-2</v>
      </c>
      <c r="G293" s="18">
        <f t="shared" si="26"/>
        <v>1.6045232273838601E-2</v>
      </c>
      <c r="H293" s="11">
        <f t="shared" si="27"/>
        <v>2.2999999999999998</v>
      </c>
      <c r="I293" s="11">
        <v>11814.5</v>
      </c>
      <c r="J293" s="10" t="str">
        <f t="shared" si="25"/>
        <v>Excentricidad  maxima del 2.30%</v>
      </c>
    </row>
    <row r="294" spans="1:10" x14ac:dyDescent="0.25">
      <c r="A294" s="10" t="s">
        <v>378</v>
      </c>
      <c r="B294" s="13">
        <v>11828.2</v>
      </c>
      <c r="C294" s="13">
        <v>11867.7</v>
      </c>
      <c r="D294" s="13" t="str">
        <f t="shared" si="28"/>
        <v>II</v>
      </c>
      <c r="E294" s="14">
        <v>1.41371212121212E-2</v>
      </c>
      <c r="F294" s="14">
        <v>2.7E-2</v>
      </c>
      <c r="G294" s="18">
        <f t="shared" si="26"/>
        <v>1.41371212121212E-2</v>
      </c>
      <c r="H294" s="11">
        <f t="shared" si="27"/>
        <v>2.7</v>
      </c>
      <c r="I294" s="11">
        <v>11831.4</v>
      </c>
      <c r="J294" s="10" t="str">
        <f t="shared" si="25"/>
        <v>Excentricidad  maxima del 2.70%</v>
      </c>
    </row>
    <row r="295" spans="1:10" x14ac:dyDescent="0.25">
      <c r="A295" s="10" t="s">
        <v>379</v>
      </c>
      <c r="B295" s="13">
        <v>11869.9</v>
      </c>
      <c r="C295" s="13">
        <v>11910.6</v>
      </c>
      <c r="D295" s="13" t="str">
        <f t="shared" si="28"/>
        <v>I</v>
      </c>
      <c r="E295" s="14">
        <v>1.22612745098039E-2</v>
      </c>
      <c r="F295" s="14">
        <v>1.5800000000000002E-2</v>
      </c>
      <c r="G295" s="18">
        <f t="shared" si="26"/>
        <v>1.22612745098039E-2</v>
      </c>
      <c r="H295" s="11">
        <f t="shared" si="27"/>
        <v>1.58</v>
      </c>
      <c r="I295" s="11">
        <v>11879.6</v>
      </c>
      <c r="J295" s="10" t="str">
        <f t="shared" si="25"/>
        <v>Excentricidad  maxima del 1.58%</v>
      </c>
    </row>
    <row r="296" spans="1:10" x14ac:dyDescent="0.25">
      <c r="A296" s="10" t="s">
        <v>380</v>
      </c>
      <c r="B296" s="13">
        <v>11912.8</v>
      </c>
      <c r="C296" s="13">
        <v>11952.9</v>
      </c>
      <c r="D296" s="13" t="str">
        <f t="shared" si="28"/>
        <v>II</v>
      </c>
      <c r="E296" s="14">
        <v>1.3392039800994999E-2</v>
      </c>
      <c r="F296" s="14">
        <v>2.2700000000000001E-2</v>
      </c>
      <c r="G296" s="18">
        <f t="shared" si="26"/>
        <v>1.3392039800994999E-2</v>
      </c>
      <c r="H296" s="11">
        <f t="shared" si="27"/>
        <v>2.27</v>
      </c>
      <c r="I296" s="11">
        <v>11915.1</v>
      </c>
      <c r="J296" s="10" t="str">
        <f t="shared" si="25"/>
        <v>Excentricidad  maxima del 2.27%</v>
      </c>
    </row>
    <row r="297" spans="1:10" x14ac:dyDescent="0.25">
      <c r="A297" s="10" t="s">
        <v>381</v>
      </c>
      <c r="B297" s="13">
        <v>11955.1</v>
      </c>
      <c r="C297" s="13">
        <v>11996.1</v>
      </c>
      <c r="D297" s="13" t="str">
        <f t="shared" si="28"/>
        <v>II</v>
      </c>
      <c r="E297" s="14">
        <v>1.5296593673965899E-2</v>
      </c>
      <c r="F297" s="14">
        <v>2.3199999999999998E-2</v>
      </c>
      <c r="G297" s="18">
        <f t="shared" si="26"/>
        <v>1.5296593673965899E-2</v>
      </c>
      <c r="H297" s="11">
        <f t="shared" si="27"/>
        <v>2.3199999999999998</v>
      </c>
      <c r="I297" s="11">
        <v>11960.3</v>
      </c>
      <c r="J297" s="10" t="str">
        <f t="shared" si="25"/>
        <v>Excentricidad  maxima del 2.32%</v>
      </c>
    </row>
    <row r="298" spans="1:10" x14ac:dyDescent="0.25">
      <c r="A298" s="10" t="s">
        <v>382</v>
      </c>
      <c r="B298" s="13">
        <v>11998.3</v>
      </c>
      <c r="C298" s="13">
        <v>12039.3</v>
      </c>
      <c r="D298" s="13" t="str">
        <f t="shared" si="28"/>
        <v>II</v>
      </c>
      <c r="E298" s="14">
        <v>1.95759124087591E-2</v>
      </c>
      <c r="F298" s="14">
        <v>2.9600000000000001E-2</v>
      </c>
      <c r="G298" s="18">
        <f t="shared" si="26"/>
        <v>1.95759124087591E-2</v>
      </c>
      <c r="H298" s="11">
        <f t="shared" si="27"/>
        <v>2.96</v>
      </c>
      <c r="I298" s="11">
        <v>12015.7</v>
      </c>
      <c r="J298" s="10" t="str">
        <f t="shared" si="25"/>
        <v>Excentricidad  maxima del 2.96%</v>
      </c>
    </row>
    <row r="299" spans="1:10" x14ac:dyDescent="0.25">
      <c r="A299" s="10" t="s">
        <v>383</v>
      </c>
      <c r="B299" s="13">
        <v>12041.5</v>
      </c>
      <c r="C299" s="13">
        <v>12081.3</v>
      </c>
      <c r="D299" s="13" t="str">
        <f t="shared" si="28"/>
        <v>II</v>
      </c>
      <c r="E299" s="14">
        <v>1.7588972431077599E-2</v>
      </c>
      <c r="F299" s="14">
        <v>2.4400000000000002E-2</v>
      </c>
      <c r="G299" s="18">
        <f t="shared" si="26"/>
        <v>1.7588972431077599E-2</v>
      </c>
      <c r="H299" s="11">
        <f t="shared" si="27"/>
        <v>2.44</v>
      </c>
      <c r="I299" s="11">
        <v>12047.6</v>
      </c>
      <c r="J299" s="10" t="str">
        <f t="shared" si="25"/>
        <v>Excentricidad  maxima del 2.44%</v>
      </c>
    </row>
    <row r="300" spans="1:10" x14ac:dyDescent="0.25">
      <c r="A300" s="10" t="s">
        <v>384</v>
      </c>
      <c r="B300" s="13">
        <v>12083.5</v>
      </c>
      <c r="C300" s="13">
        <v>12125</v>
      </c>
      <c r="D300" s="13" t="str">
        <f t="shared" si="28"/>
        <v>II</v>
      </c>
      <c r="E300" s="14">
        <v>1.9925721153846099E-2</v>
      </c>
      <c r="F300" s="14">
        <v>3.1199999999999999E-2</v>
      </c>
      <c r="G300" s="18">
        <f t="shared" si="26"/>
        <v>1.9925721153846099E-2</v>
      </c>
      <c r="H300" s="11">
        <f t="shared" si="27"/>
        <v>3.1199999999999997</v>
      </c>
      <c r="I300" s="11">
        <v>12100.9</v>
      </c>
      <c r="J300" s="10" t="str">
        <f t="shared" si="25"/>
        <v>Excentricidad  maxima del 3.12%</v>
      </c>
    </row>
    <row r="301" spans="1:10" x14ac:dyDescent="0.25">
      <c r="A301" s="10" t="s">
        <v>385</v>
      </c>
      <c r="B301" s="13">
        <v>12127.2</v>
      </c>
      <c r="C301" s="13">
        <v>12168.5</v>
      </c>
      <c r="D301" s="13" t="str">
        <f t="shared" si="28"/>
        <v>II</v>
      </c>
      <c r="E301" s="14">
        <v>2.1251690821256001E-2</v>
      </c>
      <c r="F301" s="14">
        <v>3.8899999999999997E-2</v>
      </c>
      <c r="G301" s="18">
        <f t="shared" si="26"/>
        <v>2.1251690821256001E-2</v>
      </c>
      <c r="H301" s="11">
        <f t="shared" si="27"/>
        <v>3.8899999999999997</v>
      </c>
      <c r="I301" s="11">
        <v>12138.2</v>
      </c>
      <c r="J301" s="10" t="str">
        <f t="shared" si="25"/>
        <v>Excentricidad  maxima del 3.89%</v>
      </c>
    </row>
    <row r="302" spans="1:10" x14ac:dyDescent="0.25">
      <c r="A302" s="10" t="s">
        <v>386</v>
      </c>
      <c r="B302" s="13">
        <v>12170.7</v>
      </c>
      <c r="C302" s="13">
        <v>12210.3</v>
      </c>
      <c r="D302" s="13" t="str">
        <f t="shared" si="28"/>
        <v>II</v>
      </c>
      <c r="E302" s="14">
        <v>1.85964735516372E-2</v>
      </c>
      <c r="F302" s="14">
        <v>3.4099999999999998E-2</v>
      </c>
      <c r="G302" s="18">
        <f t="shared" si="26"/>
        <v>1.85964735516372E-2</v>
      </c>
      <c r="H302" s="11">
        <f t="shared" si="27"/>
        <v>3.4099999999999997</v>
      </c>
      <c r="I302" s="11">
        <v>12179.9</v>
      </c>
      <c r="J302" s="10" t="str">
        <f t="shared" si="25"/>
        <v>Excentricidad  maxima del 3.41%</v>
      </c>
    </row>
    <row r="303" spans="1:10" x14ac:dyDescent="0.25">
      <c r="A303" s="10" t="s">
        <v>387</v>
      </c>
      <c r="B303" s="13">
        <v>12212.4</v>
      </c>
      <c r="C303" s="13">
        <v>12254</v>
      </c>
      <c r="D303" s="13" t="str">
        <f t="shared" si="28"/>
        <v>II</v>
      </c>
      <c r="E303" s="14">
        <v>1.55561151079136E-2</v>
      </c>
      <c r="F303" s="14">
        <v>3.3000000000000002E-2</v>
      </c>
      <c r="G303" s="18">
        <f t="shared" si="26"/>
        <v>1.55561151079136E-2</v>
      </c>
      <c r="H303" s="11">
        <f t="shared" si="27"/>
        <v>3.3000000000000003</v>
      </c>
      <c r="I303" s="11">
        <v>12219.2</v>
      </c>
      <c r="J303" s="10" t="str">
        <f t="shared" si="25"/>
        <v>Excentricidad  maxima del 3.30%</v>
      </c>
    </row>
  </sheetData>
  <conditionalFormatting sqref="D2:D303">
    <cfRule type="cellIs" dxfId="2" priority="1" operator="equal">
      <formula>"III"</formula>
    </cfRule>
    <cfRule type="cellIs" dxfId="1" priority="2" operator="equal">
      <formula>"II"</formula>
    </cfRule>
    <cfRule type="cellIs" dxfId="0" priority="3" operator="equal">
      <formula>"I"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9</vt:i4>
      </vt:variant>
    </vt:vector>
  </HeadingPairs>
  <TitlesOfParts>
    <vt:vector size="13" baseType="lpstr">
      <vt:lpstr>Tabla</vt:lpstr>
      <vt:lpstr>Reporte</vt:lpstr>
      <vt:lpstr>Ovalidad</vt:lpstr>
      <vt:lpstr>Excentricidad</vt:lpstr>
      <vt:lpstr>campo</vt:lpstr>
      <vt:lpstr>company</vt:lpstr>
      <vt:lpstr>Departamento</vt:lpstr>
      <vt:lpstr>Logdate</vt:lpstr>
      <vt:lpstr>NomId</vt:lpstr>
      <vt:lpstr>NomOd</vt:lpstr>
      <vt:lpstr>Pais</vt:lpstr>
      <vt:lpstr>Path</vt:lpstr>
      <vt:lpstr>Pozo</vt:lpstr>
    </vt:vector>
  </TitlesOfParts>
  <Company>EXPRO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Siatoya</dc:creator>
  <cp:lastModifiedBy>Jair Gonzalez Barreto</cp:lastModifiedBy>
  <dcterms:created xsi:type="dcterms:W3CDTF">2017-10-25T03:22:00Z</dcterms:created>
  <dcterms:modified xsi:type="dcterms:W3CDTF">2025-12-04T14:54:19Z</dcterms:modified>
</cp:coreProperties>
</file>